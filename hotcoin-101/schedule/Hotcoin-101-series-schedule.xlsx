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Schedule" sheetId="2" state="visible" r:id="rId4"/>
    <sheet name="Pillars" sheetId="3" state="visible" r:id="rId5"/>
    <sheet name="Commands" sheetId="4" state="visible" r:id="rId6"/>
    <sheet name="Style Bib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<sst xmlns="http://schemas.openxmlformats.org/spreadsheetml/2006/main" count="869" uniqueCount="664">
  <si>
    <t xml:space="preserve">HOTCOIN 101 — SERIES CONTROL</t>
  </si>
  <si>
    <t xml:space="preserve">Series name</t>
  </si>
  <si>
    <t xml:space="preserve">Hotcoin 101</t>
  </si>
  <si>
    <t xml:space="preserve">Strapline</t>
  </si>
  <si>
    <t xml:space="preserve">Money, explained</t>
  </si>
  <si>
    <t xml:space="preserve">Episodes planned</t>
  </si>
  <si>
    <t xml:space="preserve">Cadence (days between posts)</t>
  </si>
  <si>
    <t xml:space="preserve">First publish (local, Asia/Shanghai)</t>
  </si>
  <si>
    <t xml:space="preserve">Formats rendered</t>
  </si>
  <si>
    <t xml:space="preserve">9:16 (1080x1920) and 16:9 (1920x1080)</t>
  </si>
  <si>
    <t xml:space="preserve">Runtime target</t>
  </si>
  <si>
    <t xml:space="preserve">60 to 80 seconds</t>
  </si>
  <si>
    <t xml:space="preserve">Frame rate</t>
  </si>
  <si>
    <t xml:space="preserve">Audio</t>
  </si>
  <si>
    <t xml:space="preserve">None baked in. Music and VO added in CapCut.</t>
  </si>
  <si>
    <t xml:space="preserve">Brand green (confirm vs logo)</t>
  </si>
  <si>
    <t xml:space="preserve">#00C566</t>
  </si>
  <si>
    <t xml:space="preserve">Paper base</t>
  </si>
  <si>
    <t xml:space="preserve">#EFE9DC</t>
  </si>
  <si>
    <t xml:space="preserve">Ink</t>
  </si>
  <si>
    <t xml:space="preserve">#17170F</t>
  </si>
  <si>
    <t xml:space="preserve">Display face</t>
  </si>
  <si>
    <t xml:space="preserve">Newsreader</t>
  </si>
  <si>
    <t xml:space="preserve">UI face</t>
  </si>
  <si>
    <t xml:space="preserve">Inter</t>
  </si>
  <si>
    <t xml:space="preserve">Mono face</t>
  </si>
  <si>
    <t xml:space="preserve">IBM Plex Mono</t>
  </si>
  <si>
    <t xml:space="preserve">Blue cells are inputs. Schedule dates recalculate from the first publish date and the cadence.</t>
  </si>
  <si>
    <t xml:space="preserve">#</t>
  </si>
  <si>
    <t xml:space="preserve">File</t>
  </si>
  <si>
    <t xml:space="preserve">Publish (local)</t>
  </si>
  <si>
    <t xml:space="preserve">Weekday</t>
  </si>
  <si>
    <t xml:space="preserve">Pillar</t>
  </si>
  <si>
    <t xml:space="preserve">Title</t>
  </si>
  <si>
    <t xml:space="preserve">Hook (cold open)</t>
  </si>
  <si>
    <t xml:space="preserve">Beat outline</t>
  </si>
  <si>
    <t xml:space="preserve">Key fact to verify</t>
  </si>
  <si>
    <t xml:space="preserve">Takeaway</t>
  </si>
  <si>
    <t xml:space="preserve">Hotcoin tie-in</t>
  </si>
  <si>
    <t xml:space="preserve">X post copy</t>
  </si>
  <si>
    <t xml:space="preserve">Formats</t>
  </si>
  <si>
    <t xml:space="preserve">Render command</t>
  </si>
  <si>
    <t xml:space="preserve">Status</t>
  </si>
  <si>
    <t xml:space="preserve">FILE 001</t>
  </si>
  <si>
    <t xml:space="preserve">History</t>
  </si>
  <si>
    <t xml:space="preserve">A Short History of Investing</t>
  </si>
  <si>
    <t xml:space="preserve">Investing is 5,000 years older than the stock market.</t>
  </si>
  <si>
    <t xml:space="preserve">Grain loans in Uruk → shared voyages → VOC shares 1602 → the ticker 1867 → screens and 24/7 markets</t>
  </si>
  <si>
    <t xml:space="preserve">The Dutch East India Company (1602) was the first company with publicly tradable shares</t>
  </si>
  <si>
    <t xml:space="preserve">Every era solved one problem: move capital to someone who can use it and get paid for the risk.</t>
  </si>
  <si>
    <t xml:space="preserve">One account covering crypto, tokenized stocks and prediction markets</t>
  </si>
  <si>
    <t xml:space="preserve">Investing is 5,000 years older than the stock market.
→ Grain loans in Uruk
→ shared voyages
→ VOC shares 1602
→ the ticker 1867
→ screens and 24/7 markets
Every era solved one problem: move capital to someone who can use it and get paid for the risk.</t>
  </si>
  <si>
    <t xml:space="preserve">9:16 + 16:9</t>
  </si>
  <si>
    <t xml:space="preserve">Build FILE 001 then render a-short-history-of-investing-vertical and a-short-history-of-investing-horizontal</t>
  </si>
  <si>
    <t xml:space="preserve">Rendered</t>
  </si>
  <si>
    <t xml:space="preserve">FILE 002</t>
  </si>
  <si>
    <t xml:space="preserve">Jargon</t>
  </si>
  <si>
    <t xml:space="preserve">WAGMI, NGMI and the Rest</t>
  </si>
  <si>
    <t xml:space="preserve">Crypto did not invent hype. It just gave it acronyms.</t>
  </si>
  <si>
    <t xml:space="preserve">WAGMI → NGMI → what each signals about positioning → why community language moves price</t>
  </si>
  <si>
    <t xml:space="preserve">WAGMI spread from crypto Twitter around 2021 and is now standard NFT and trading slang</t>
  </si>
  <si>
    <t xml:space="preserve">Slang is sentiment data. Learn to read it as positioning, not personality.</t>
  </si>
  <si>
    <t xml:space="preserve">Light logo end card only</t>
  </si>
  <si>
    <t xml:space="preserve">Crypto did not invent hype. It just gave it acronyms.
→ WAGMI
→ NGMI
→ what each signals about positioning
→ why community language moves price
Slang is sentiment data. Learn to read it as positioning, not personality.</t>
  </si>
  <si>
    <t xml:space="preserve">Build FILE 002 then render wagmi-ngmi-and-the-rest-vertical and wagmi-ngmi-and-the-rest-horizontal</t>
  </si>
  <si>
    <t xml:space="preserve">Planned</t>
  </si>
  <si>
    <t xml:space="preserve">FILE 003</t>
  </si>
  <si>
    <t xml:space="preserve">Trading</t>
  </si>
  <si>
    <t xml:space="preserve">What a Candlestick Actually Tells You</t>
  </si>
  <si>
    <t xml:space="preserve">A candle is four numbers wearing a costume.</t>
  </si>
  <si>
    <t xml:space="preserve">Open, high, low, close → body vs wick → what a long wick means → why timeframe changes the story</t>
  </si>
  <si>
    <t xml:space="preserve">Candlestick charting comes from 18th century Japanese rice traders</t>
  </si>
  <si>
    <t xml:space="preserve">A candle is a summary, not a signal. Read the timeframe before you read the shape.</t>
  </si>
  <si>
    <t xml:space="preserve">Charting available on Hotcoin spot and futures</t>
  </si>
  <si>
    <t xml:space="preserve">A candle is four numbers wearing a costume.
→ Open, high, low, close
→ body vs wick
→ what a long wick means
→ why timeframe changes the story
A candle is a summary, not a signal. Read the timeframe before you read the shape.</t>
  </si>
  <si>
    <t xml:space="preserve">Build FILE 003 then render what-a-candlestick-actually-tells-you-vertical and what-a-candlestick-actually-tells-you-horizontal</t>
  </si>
  <si>
    <t xml:space="preserve">FILE 004</t>
  </si>
  <si>
    <t xml:space="preserve">Crypto</t>
  </si>
  <si>
    <t xml:space="preserve">What a Blockchain Actually Is</t>
  </si>
  <si>
    <t xml:space="preserve">A blockchain is a spreadsheet nobody is allowed to edit alone.</t>
  </si>
  <si>
    <t xml:space="preserve">Ledger → blocks → consensus → why immutability is economic, not magical</t>
  </si>
  <si>
    <t xml:space="preserve">Bitcoin's genesis block was mined on 3 January 2009</t>
  </si>
  <si>
    <t xml:space="preserve">A blockchain does not remove trust. It moves trust from a company to a rule set.</t>
  </si>
  <si>
    <t xml:space="preserve">A blockchain is a spreadsheet nobody is allowed to edit alone.
→ Ledger
→ blocks
→ consensus
→ why immutability is economic, not magical
A blockchain does not remove trust. It moves trust from a company to a rule set.</t>
  </si>
  <si>
    <t xml:space="preserve">Build FILE 004 then render what-a-blockchain-actually-is-vertical and what-a-blockchain-actually-is-horizontal</t>
  </si>
  <si>
    <t xml:space="preserve">FILE 005</t>
  </si>
  <si>
    <t xml:space="preserve">TradFi</t>
  </si>
  <si>
    <t xml:space="preserve">What a Stock Exchange Really Does</t>
  </si>
  <si>
    <t xml:space="preserve">An exchange does not sell you shares. It matches you with someone leaving.</t>
  </si>
  <si>
    <t xml:space="preserve">Order matching → market makers → why spreads exist → settlement</t>
  </si>
  <si>
    <t xml:space="preserve">The NYSE traces to the 1792 Buttonwood Agreement signed by 24 brokers</t>
  </si>
  <si>
    <t xml:space="preserve">An exchange sells certainty of execution, not the asset itself.</t>
  </si>
  <si>
    <t xml:space="preserve">Same mechanics on Hotcoin spot books</t>
  </si>
  <si>
    <t xml:space="preserve">An exchange does not sell you shares. It matches you with someone leaving.
→ Order matching
→ market makers
→ why spreads exist
→ settlement
An exchange sells certainty of execution, not the asset itself.</t>
  </si>
  <si>
    <t xml:space="preserve">Build FILE 005 then render what-a-stock-exchange-really-does-vertical and what-a-stock-exchange-really-does-horizontal</t>
  </si>
  <si>
    <t xml:space="preserve">FILE 006</t>
  </si>
  <si>
    <t xml:space="preserve">Risk</t>
  </si>
  <si>
    <t xml:space="preserve">Position Sizing Beats Prediction</t>
  </si>
  <si>
    <t xml:space="preserve">Most traders die of size, not of being wrong.</t>
  </si>
  <si>
    <t xml:space="preserve">Win rate vs size → the 1% rule → why one oversized trade erases ten good ones → sizing as the only variable you control</t>
  </si>
  <si>
    <t xml:space="preserve">A 50% drawdown requires a 100% gain just to break even</t>
  </si>
  <si>
    <t xml:space="preserve">You cannot control whether you are right. You can control how much it costs to be wrong.</t>
  </si>
  <si>
    <t xml:space="preserve">Risk controls and position limits on Hotcoin</t>
  </si>
  <si>
    <t xml:space="preserve">Most traders die of size, not of being wrong.
→ Win rate vs size
→ the 1% rule
→ why one oversized trade erases ten good ones
→ sizing as the only variable you control
You cannot control whether you are right. You can control how much it costs to be wrong.</t>
  </si>
  <si>
    <t xml:space="preserve">Build FILE 006 then render position-sizing-beats-prediction-vertical and position-sizing-beats-prediction-horizontal</t>
  </si>
  <si>
    <t xml:space="preserve">FILE 007</t>
  </si>
  <si>
    <t xml:space="preserve">The First Bubble Had Tulips In It</t>
  </si>
  <si>
    <t xml:space="preserve">In 1637 a single flower bulb cost more than a house.</t>
  </si>
  <si>
    <t xml:space="preserve">Tulip mania → forward contracts → the collapse → what actually repeated in later manias</t>
  </si>
  <si>
    <t xml:space="preserve">At the peak, rare tulip bulbs traded for several years of a craftsman's wages</t>
  </si>
  <si>
    <t xml:space="preserve">Bubbles are not about the asset. They are about the story that justifies the price.</t>
  </si>
  <si>
    <t xml:space="preserve">In 1637 a single flower bulb cost more than a house.
→ Tulip mania
→ forward contracts
→ the collapse
→ what actually repeated in later manias
Bubbles are not about the asset. They are about the story that justifies the price.</t>
  </si>
  <si>
    <t xml:space="preserve">Build FILE 007 then render the-first-bubble-had-tulips-in-it-vertical and the-first-bubble-had-tulips-in-it-horizontal</t>
  </si>
  <si>
    <t xml:space="preserve">FILE 008</t>
  </si>
  <si>
    <t xml:space="preserve">FUD, FOMO and the Two Moods of the Market</t>
  </si>
  <si>
    <t xml:space="preserve">Every market has two emotions and a lot of vocabulary.</t>
  </si>
  <si>
    <t xml:space="preserve">FUD → FOMO → why both are trading signals → how to separate news from noise</t>
  </si>
  <si>
    <t xml:space="preserve">The 24 to 30 hour window is when most crypto news is fully priced in</t>
  </si>
  <si>
    <t xml:space="preserve">FUD and FOMO describe you, not the market. That is what makes them useful.</t>
  </si>
  <si>
    <t xml:space="preserve">Every market has two emotions and a lot of vocabulary.
→ FUD
→ FOMO
→ why both are trading signals
→ how to separate news from noise
FUD and FOMO describe you, not the market. That is what makes them useful.</t>
  </si>
  <si>
    <t xml:space="preserve">Build FILE 008 then render fud-fomo-and-the-two-moods-of-the-market-vertical and fud-fomo-and-the-two-moods-of-the-market-horizontal</t>
  </si>
  <si>
    <t xml:space="preserve">FILE 009</t>
  </si>
  <si>
    <t xml:space="preserve">Not Your Keys, Not Your Coins</t>
  </si>
  <si>
    <t xml:space="preserve">There are only two ways to hold crypto, and both cost something.</t>
  </si>
  <si>
    <t xml:space="preserve">Self custody → exchange custody → the real trade-off is operational risk vs counterparty risk → who should use which</t>
  </si>
  <si>
    <t xml:space="preserve">Roughly 20% of all bitcoin is estimated to be permanently lost to inaccessible wallets</t>
  </si>
  <si>
    <t xml:space="preserve">Custody is a choice between losing your keys and trusting someone else with them.</t>
  </si>
  <si>
    <t xml:space="preserve">Hotcoin custody and withdrawal controls</t>
  </si>
  <si>
    <t xml:space="preserve">There are only two ways to hold crypto, and both cost something.
→ Self custody
→ exchange custody
→ the real trade-off is operational risk vs counterparty risk
→ who should use which
Custody is a choice between losing your keys and trusting someone else with them.</t>
  </si>
  <si>
    <t xml:space="preserve">Build FILE 009 then render not-your-keys-not-your-coins-vertical and not-your-keys-not-your-coins-horizontal</t>
  </si>
  <si>
    <t xml:space="preserve">FILE 010</t>
  </si>
  <si>
    <t xml:space="preserve">Market, Limit and Stop Orders</t>
  </si>
  <si>
    <t xml:space="preserve">Three buttons. Most losses come from pressing the wrong one.</t>
  </si>
  <si>
    <t xml:space="preserve">Market order → limit order → stop and stop-limit → when each one hurts you</t>
  </si>
  <si>
    <t xml:space="preserve">In thin books a market order can fill several percent away from the last price</t>
  </si>
  <si>
    <t xml:space="preserve">Order type is a risk decision, not a convenience setting.</t>
  </si>
  <si>
    <t xml:space="preserve">All three order types on Hotcoin</t>
  </si>
  <si>
    <t xml:space="preserve">Three buttons. Most losses come from pressing the wrong one.
→ Market order
→ limit order
→ stop and stop-limit
→ when each one hurts you
Order type is a risk decision, not a convenience setting.</t>
  </si>
  <si>
    <t xml:space="preserve">Build FILE 010 then render market-limit-and-stop-orders-vertical and market-limit-and-stop-orders-horizontal</t>
  </si>
  <si>
    <t xml:space="preserve">FILE 011</t>
  </si>
  <si>
    <t xml:space="preserve">What an Index Actually Measures</t>
  </si>
  <si>
    <t xml:space="preserve">The S&amp;P 500 is not the economy. It is 500 opinions about it.</t>
  </si>
  <si>
    <t xml:space="preserve">Index construction → weighting → survivorship → why the index is not the average company</t>
  </si>
  <si>
    <t xml:space="preserve">The S&amp;P 500 is market cap weighted, so the largest names dominate its moves</t>
  </si>
  <si>
    <t xml:space="preserve">An index is a rule, not a fact. Read the rule before you read the number.</t>
  </si>
  <si>
    <t xml:space="preserve">Tokenized equity exposure on Hotcoin</t>
  </si>
  <si>
    <t xml:space="preserve">The S&amp;P 500 is not the economy. It is 500 opinions about it.
→ Index construction
→ weighting
→ survivorship
→ why the index is not the average company
An index is a rule, not a fact. Read the rule before you read the number.</t>
  </si>
  <si>
    <t xml:space="preserve">Build FILE 011 then render what-an-index-actually-measures-vertical and what-an-index-actually-measures-horizontal</t>
  </si>
  <si>
    <t xml:space="preserve">FILE 012</t>
  </si>
  <si>
    <t xml:space="preserve">Leverage Is a Clock, Not a Multiplier</t>
  </si>
  <si>
    <t xml:space="preserve">Leverage does not make you right faster. It makes you early fatally.</t>
  </si>
  <si>
    <t xml:space="preserve">Notional vs margin → liquidation price → funding cost → why time is the hidden variable</t>
  </si>
  <si>
    <t xml:space="preserve">At 20x leverage a 5% adverse move liquidates the position</t>
  </si>
  <si>
    <t xml:space="preserve">Leverage shortens the time your thesis is allowed to take.</t>
  </si>
  <si>
    <t xml:space="preserve">Advanced risk controls on Hotcoin futures</t>
  </si>
  <si>
    <t xml:space="preserve">Leverage does not make you right faster. It makes you early fatally.
→ Notional vs margin
→ liquidation price
→ funding cost
→ why time is the hidden variable
Leverage shortens the time your thesis is allowed to take.</t>
  </si>
  <si>
    <t xml:space="preserve">Build FILE 012 then render leverage-is-a-clock-not-a-multiplier-vertical and leverage-is-a-clock-not-a-multiplier-horizontal</t>
  </si>
  <si>
    <t xml:space="preserve">FILE 013</t>
  </si>
  <si>
    <t xml:space="preserve">How Paper Money Got Invented Twice</t>
  </si>
  <si>
    <t xml:space="preserve">China printed money 700 years before Europe believed in it.</t>
  </si>
  <si>
    <t xml:space="preserve">Song dynasty jiaozi → Yuan paper currency → European banknotes → the same inflation lesson twice</t>
  </si>
  <si>
    <t xml:space="preserve">China issued the first government-backed paper currency in the 11th century</t>
  </si>
  <si>
    <t xml:space="preserve">Paper money is a technology for trust, and trust has always been the scarce part.</t>
  </si>
  <si>
    <t xml:space="preserve">China printed money 700 years before Europe believed in it.
→ Song dynasty jiaozi
→ Yuan paper currency
→ European banknotes
→ the same inflation lesson twice
Paper money is a technology for trust, and trust has always been the scarce part.</t>
  </si>
  <si>
    <t xml:space="preserve">Build FILE 013 then render how-paper-money-got-invented-twice-vertical and how-paper-money-got-invented-twice-horizontal</t>
  </si>
  <si>
    <t xml:space="preserve">FILE 014</t>
  </si>
  <si>
    <t xml:space="preserve">Stablecoins, Explained</t>
  </si>
  <si>
    <t xml:space="preserve">A stablecoin is a promise with a balance sheet behind it. Or not.</t>
  </si>
  <si>
    <t xml:space="preserve">Fiat-backed → overcollateralized → algorithmic → why the peg is a claim, not a law</t>
  </si>
  <si>
    <t xml:space="preserve">Terra's UST peg failed in May 2022, erasing tens of billions in days</t>
  </si>
  <si>
    <t xml:space="preserve">A stablecoin is only as stable as the thing standing behind it.</t>
  </si>
  <si>
    <t xml:space="preserve">Stablecoin pairs on Hotcoin</t>
  </si>
  <si>
    <t xml:space="preserve">A stablecoin is a promise with a balance sheet behind it. Or not.
→ Fiat-backed
→ overcollateralized
→ algorithmic
→ why the peg is a claim, not a law
A stablecoin is only as stable as the thing standing behind it.</t>
  </si>
  <si>
    <t xml:space="preserve">Build FILE 014 then render stablecoins-explained-vertical and stablecoins-explained-horizontal</t>
  </si>
  <si>
    <t xml:space="preserve">FILE 015</t>
  </si>
  <si>
    <t xml:space="preserve">Whale, Shrimp, Bagholder</t>
  </si>
  <si>
    <t xml:space="preserve">The market has a whole zoo and you are probably in it.</t>
  </si>
  <si>
    <t xml:space="preserve">Whale → shrimp → bagholder → why the labels describe behaviour, not wealth</t>
  </si>
  <si>
    <t xml:space="preserve">On most chains a small number of addresses hold a large majority of supply</t>
  </si>
  <si>
    <t xml:space="preserve">The zoo is a way of talking about concentration. Concentration is a risk factor.</t>
  </si>
  <si>
    <t xml:space="preserve">The market has a whole zoo and you are probably in it.
→ Whale
→ shrimp
→ bagholder
→ why the labels describe behaviour, not wealth
The zoo is a way of talking about concentration. Concentration is a risk factor.</t>
  </si>
  <si>
    <t xml:space="preserve">Build FILE 015 then render whale-shrimp-bagholder-vertical and whale-shrimp-bagholder-horizontal</t>
  </si>
  <si>
    <t xml:space="preserve">FILE 016</t>
  </si>
  <si>
    <t xml:space="preserve">Liquidity: Noticed Only When It Is Gone</t>
  </si>
  <si>
    <t xml:space="preserve">Price is an opinion. Liquidity decides if you can act on it.</t>
  </si>
  <si>
    <t xml:space="preserve">Depth → spread → slippage → why liquidity vanishes exactly when you need it</t>
  </si>
  <si>
    <t xml:space="preserve">Order book depth typically thins sharply during high volatility</t>
  </si>
  <si>
    <t xml:space="preserve">Liquidity is the difference between a price and a fill.</t>
  </si>
  <si>
    <t xml:space="preserve">Deep books and market making on Hotcoin</t>
  </si>
  <si>
    <t xml:space="preserve">Price is an opinion. Liquidity decides if you can act on it.
→ Depth
→ spread
→ slippage
→ why liquidity vanishes exactly when you need it
Liquidity is the difference between a price and a fill.</t>
  </si>
  <si>
    <t xml:space="preserve">Build FILE 016 then render liquidity-noticed-only-when-it-is-gone-vertical and liquidity-noticed-only-when-it-is-gone-horizontal</t>
  </si>
  <si>
    <t xml:space="preserve">FILE 017</t>
  </si>
  <si>
    <t xml:space="preserve">Bonds, or Lending to a Government</t>
  </si>
  <si>
    <t xml:space="preserve">The most boring asset on earth sets the price of everything else.</t>
  </si>
  <si>
    <t xml:space="preserve">Coupon → yield → price and yield move opposite → why the 10 year matters to crypto</t>
  </si>
  <si>
    <t xml:space="preserve">Bond prices fall when yields rise, and the relationship is mechanical</t>
  </si>
  <si>
    <t xml:space="preserve">The risk-free rate is the gravity every other asset is priced against.</t>
  </si>
  <si>
    <t xml:space="preserve">Macro calendar coverage on Hotcoin</t>
  </si>
  <si>
    <t xml:space="preserve">The most boring asset on earth sets the price of everything else.
→ Coupon
→ yield
→ price and yield move opposite
→ why the 10 year matters to crypto
The risk-free rate is the gravity every other asset is priced against.</t>
  </si>
  <si>
    <t xml:space="preserve">Build FILE 017 then render bonds-or-lending-to-a-government-vertical and bonds-or-lending-to-a-government-horizontal</t>
  </si>
  <si>
    <t xml:space="preserve">FILE 018</t>
  </si>
  <si>
    <t xml:space="preserve">Risk of Ruin: The Maths of Blowing Up</t>
  </si>
  <si>
    <t xml:space="preserve">Lose 50% and you need 100% just to get back.</t>
  </si>
  <si>
    <t xml:space="preserve">Drawdown maths → sequence of losses → why survival compounds → the practical fix</t>
  </si>
  <si>
    <t xml:space="preserve">A 70% drawdown requires a 233% gain to recover</t>
  </si>
  <si>
    <t xml:space="preserve">Staying solvent is not conservative. It is the whole strategy.</t>
  </si>
  <si>
    <t xml:space="preserve">Risk controls on Hotcoin</t>
  </si>
  <si>
    <t xml:space="preserve">Lose 50% and you need 100% just to get back.
→ Drawdown maths
→ sequence of losses
→ why survival compounds
→ the practical fix
Staying solvent is not conservative. It is the whole strategy.</t>
  </si>
  <si>
    <t xml:space="preserve">Build FILE 018 then render risk-of-ruin-the-maths-of-blowing-up-vertical and risk-of-ruin-the-maths-of-blowing-up-horizontal</t>
  </si>
  <si>
    <t xml:space="preserve">FILE 019</t>
  </si>
  <si>
    <t xml:space="preserve">A Market That Started Under a Tree</t>
  </si>
  <si>
    <t xml:space="preserve">24 brokers, one tree, and the beginning of Wall Street.</t>
  </si>
  <si>
    <t xml:space="preserve">Buttonwood Agreement 1792 → fixed commissions → the exchange building → the floor's slow death</t>
  </si>
  <si>
    <t xml:space="preserve">The Buttonwood Agreement was signed by 24 brokers in New York in 1792</t>
  </si>
  <si>
    <t xml:space="preserve">Every exchange begins as a private agreement about who gets to trade.</t>
  </si>
  <si>
    <t xml:space="preserve">24 brokers, one tree, and the beginning of Wall Street.
→ Buttonwood Agreement 1792
→ fixed commissions
→ the exchange building
→ the floor's slow death
Every exchange begins as a private agreement about who gets to trade.</t>
  </si>
  <si>
    <t xml:space="preserve">Build FILE 019 then render a-market-that-started-under-a-tree-vertical and a-market-that-started-under-a-tree-horizontal</t>
  </si>
  <si>
    <t xml:space="preserve">FILE 020</t>
  </si>
  <si>
    <t xml:space="preserve">Gas, Blockspace and Why Moving Costs Money</t>
  </si>
  <si>
    <t xml:space="preserve">You are not paying a bank. You are bidding for space.</t>
  </si>
  <si>
    <t xml:space="preserve">Blockspace as a scarce good → auction dynamics → why fees spike → layer 2 relief</t>
  </si>
  <si>
    <t xml:space="preserve">Ethereum gas fees are set by demand for limited space in each block</t>
  </si>
  <si>
    <t xml:space="preserve">Fees are not a tax. They are an auction you are participating in.</t>
  </si>
  <si>
    <t xml:space="preserve">Withdrawal fee structure on Hotcoin</t>
  </si>
  <si>
    <t xml:space="preserve">You are not paying a bank. You are bidding for space.
→ Blockspace as a scarce good
→ auction dynamics
→ why fees spike
→ layer 2 relief
Fees are not a tax. They are an auction you are participating in.</t>
  </si>
  <si>
    <t xml:space="preserve">Build FILE 020 then render gas-blockspace-and-why-moving-costs-money-vertical and gas-blockspace-and-why-moving-costs-money-horizontal</t>
  </si>
  <si>
    <t xml:space="preserve">FILE 021</t>
  </si>
  <si>
    <t xml:space="preserve">Ape, Rug, Degen</t>
  </si>
  <si>
    <t xml:space="preserve">Some crypto words are jokes. Some are warnings dressed as jokes.</t>
  </si>
  <si>
    <t xml:space="preserve">Ape in → rug pull → degen → what each term is actually describing in risk terms</t>
  </si>
  <si>
    <t xml:space="preserve">Rug pulls accounted for a large share of crypto scam losses in recent years</t>
  </si>
  <si>
    <t xml:space="preserve">When a community jokes about a risk constantly, the risk is real.</t>
  </si>
  <si>
    <t xml:space="preserve">Listing and review process at Hotcoin</t>
  </si>
  <si>
    <t xml:space="preserve">Some crypto words are jokes. Some are warnings dressed as jokes.
→ Ape in
→ rug pull
→ degen
→ what each term is actually describing in risk terms
When a community jokes about a risk constantly, the risk is real.</t>
  </si>
  <si>
    <t xml:space="preserve">Build FILE 021 then render ape-rug-degen-vertical and ape-rug-degen-horizontal</t>
  </si>
  <si>
    <t xml:space="preserve">FILE 022</t>
  </si>
  <si>
    <t xml:space="preserve">Support and Resistance Without the Mysticism</t>
  </si>
  <si>
    <t xml:space="preserve">Lines on a chart are not magic. They are memory.</t>
  </si>
  <si>
    <t xml:space="preserve">Where levels come from → why they work → why they break → how to use them without worshipping them</t>
  </si>
  <si>
    <t xml:space="preserve">Levels matter because participants place orders at round and remembered prices</t>
  </si>
  <si>
    <t xml:space="preserve">A level is a place where people previously made decisions. That is all, and it is enough.</t>
  </si>
  <si>
    <t xml:space="preserve">Charting tools on Hotcoin</t>
  </si>
  <si>
    <t xml:space="preserve">Lines on a chart are not magic. They are memory.
→ Where levels come from
→ why they work
→ why they break
→ how to use them without worshipping them
A level is a place where people previously made decisions. That is all, and it is enough.</t>
  </si>
  <si>
    <t xml:space="preserve">Build FILE 022 then render support-and-resistance-without-the-mysticism-vertical and support-and-resistance-without-the-mysticism-horizontal</t>
  </si>
  <si>
    <t xml:space="preserve">FILE 023</t>
  </si>
  <si>
    <t xml:space="preserve">What a Broker Does With Your Order</t>
  </si>
  <si>
    <t xml:space="preserve">Your order does not go straight to the exchange. Not always.</t>
  </si>
  <si>
    <t xml:space="preserve">Routing → internalization → payment for order flow → what best execution means</t>
  </si>
  <si>
    <t xml:space="preserve">Payment for order flow is banned in some jurisdictions and permitted in others</t>
  </si>
  <si>
    <t xml:space="preserve">Know who is on the other side of your order, and how they are paid.</t>
  </si>
  <si>
    <t xml:space="preserve">Transparent order routing on Hotcoin</t>
  </si>
  <si>
    <t xml:space="preserve">Your order does not go straight to the exchange. Not always.
→ Routing
→ internalization
→ payment for order flow
→ what best execution means
Know who is on the other side of your order, and how they are paid.</t>
  </si>
  <si>
    <t xml:space="preserve">Build FILE 023 then render what-a-broker-does-with-your-order-vertical and what-a-broker-does-with-your-order-horizontal</t>
  </si>
  <si>
    <t xml:space="preserve">FILE 024</t>
  </si>
  <si>
    <t xml:space="preserve">Most Portfolios Are One Bet in Disguise</t>
  </si>
  <si>
    <t xml:space="preserve">You own eleven things and one risk.</t>
  </si>
  <si>
    <t xml:space="preserve">Correlation → factor exposure → why crypto portfolios cluster → practical diversification</t>
  </si>
  <si>
    <t xml:space="preserve">Most large-cap altcoins have historically shown high correlation to $BTC</t>
  </si>
  <si>
    <t xml:space="preserve">Diversification is about correlated risk, not the number of tickers.</t>
  </si>
  <si>
    <t xml:space="preserve">Multi-asset access on Hotcoin</t>
  </si>
  <si>
    <t xml:space="preserve">You own eleven things and one risk.
→ Correlation
→ factor exposure
→ why crypto portfolios cluster
→ practical diversification
Diversification is about correlated risk, not the number of tickers.</t>
  </si>
  <si>
    <t xml:space="preserve">Build FILE 024 then render most-portfolios-are-one-bet-in-disguise-vertical and most-portfolios-are-one-bet-in-disguise-horizontal</t>
  </si>
  <si>
    <t xml:space="preserve">FILE 025</t>
  </si>
  <si>
    <t xml:space="preserve">The 1929 Crash Was a Margin Story</t>
  </si>
  <si>
    <t xml:space="preserve">Everyone remembers the crash. Few remember it was bought on credit.</t>
  </si>
  <si>
    <t xml:space="preserve">Margin buying in the 1920s → the call → forced selling → the reforms that followed</t>
  </si>
  <si>
    <t xml:space="preserve">Investors could buy stock with as little as 10% down before 1929</t>
  </si>
  <si>
    <t xml:space="preserve">Leverage does not cause bubbles. It decides how fast they end.</t>
  </si>
  <si>
    <t xml:space="preserve">Risk limits on Hotcoin futures</t>
  </si>
  <si>
    <t xml:space="preserve">Everyone remembers the crash. Few remember it was bought on credit.
→ Margin buying in the 1920s
→ the call
→ forced selling
→ the reforms that followed
Leverage does not cause bubbles. It decides how fast they end.</t>
  </si>
  <si>
    <t xml:space="preserve">Build FILE 025 then render the-1929-crash-was-a-margin-story-vertical and the-1929-crash-was-a-margin-story-horizontal</t>
  </si>
  <si>
    <t xml:space="preserve">FILE 026</t>
  </si>
  <si>
    <t xml:space="preserve">Proof of Work vs Proof of Stake</t>
  </si>
  <si>
    <t xml:space="preserve">Two ways to make lying expensive.</t>
  </si>
  <si>
    <t xml:space="preserve">PoW energy cost → PoS capital cost → security assumptions → the real trade-offs</t>
  </si>
  <si>
    <t xml:space="preserve">Ethereum moved from proof of work to proof of stake in September 2022</t>
  </si>
  <si>
    <t xml:space="preserve">Both systems buy the same thing: the cost of attacking the network.</t>
  </si>
  <si>
    <t xml:space="preserve">Staking products on Hotcoin</t>
  </si>
  <si>
    <t xml:space="preserve">Two ways to make lying expensive.
→ PoW energy cost
→ PoS capital cost
→ security assumptions
→ the real trade-offs
Both systems buy the same thing: the cost of attacking the network.</t>
  </si>
  <si>
    <t xml:space="preserve">Build FILE 026 then render proof-of-work-vs-proof-of-stake-vertical and proof-of-work-vs-proof-of-stake-horizontal</t>
  </si>
  <si>
    <t xml:space="preserve">FILE 027</t>
  </si>
  <si>
    <t xml:space="preserve">HODL: The Typo That Became a Strategy</t>
  </si>
  <si>
    <t xml:space="preserve">One forum post in 2013 named an entire philosophy.</t>
  </si>
  <si>
    <t xml:space="preserve">The original post → why it stuck → holding as a strategy → when it is the wrong one</t>
  </si>
  <si>
    <t xml:space="preserve">The word came from a misspelled 'hold' in a December 2013 forum post</t>
  </si>
  <si>
    <t xml:space="preserve">Holding is a strategy only when you can say what would change your mind.</t>
  </si>
  <si>
    <t xml:space="preserve">One forum post in 2013 named an entire philosophy.
→ The original post
→ why it stuck
→ holding as a strategy
→ when it is the wrong one
Holding is a strategy only when you can say what would change your mind.</t>
  </si>
  <si>
    <t xml:space="preserve">Build FILE 027 then render hodl-the-typo-that-became-a-strategy-vertical and hodl-the-typo-that-became-a-strategy-horizontal</t>
  </si>
  <si>
    <t xml:space="preserve">FILE 028</t>
  </si>
  <si>
    <t xml:space="preserve">Funding Rates: The Rent on Your Opinion</t>
  </si>
  <si>
    <t xml:space="preserve">In perpetual futures, you pay to keep an opinion open.</t>
  </si>
  <si>
    <t xml:space="preserve">What funding is → who pays whom → why it flips → reading it as positioning data</t>
  </si>
  <si>
    <t xml:space="preserve">Perpetual futures use funding payments to keep the contract near spot price</t>
  </si>
  <si>
    <t xml:space="preserve">Funding is the market telling you which side is crowded.</t>
  </si>
  <si>
    <t xml:space="preserve">Funding rates visible on Hotcoin futures</t>
  </si>
  <si>
    <t xml:space="preserve">In perpetual futures, you pay to keep an opinion open.
→ What funding is
→ who pays whom
→ why it flips
→ reading it as positioning data
Funding is the market telling you which side is crowded.</t>
  </si>
  <si>
    <t xml:space="preserve">Build FILE 028 then render funding-rates-the-rent-on-your-opinion-vertical and funding-rates-the-rent-on-your-opinion-horizontal</t>
  </si>
  <si>
    <t xml:space="preserve">FILE 029</t>
  </si>
  <si>
    <t xml:space="preserve">Dividends and Buybacks</t>
  </si>
  <si>
    <t xml:space="preserve">Two ways a company pays you. One is taxed differently.</t>
  </si>
  <si>
    <t xml:space="preserve">Dividend mechanics → buyback mechanics → why buybacks grew → what each signals</t>
  </si>
  <si>
    <t xml:space="preserve">US buybacks overtook dividends as the main way large firms return cash</t>
  </si>
  <si>
    <t xml:space="preserve">Both return cash. Only one asks your permission to be taxed.</t>
  </si>
  <si>
    <t xml:space="preserve">Two ways a company pays you. One is taxed differently.
→ Dividend mechanics
→ buyback mechanics
→ why buybacks grew
→ what each signals
Both return cash. Only one asks your permission to be taxed.</t>
  </si>
  <si>
    <t xml:space="preserve">Build FILE 029 then render dividends-and-buybacks-vertical and dividends-and-buybacks-horizontal</t>
  </si>
  <si>
    <t xml:space="preserve">FILE 030</t>
  </si>
  <si>
    <t xml:space="preserve">Being Early Costs the Same as Being Wrong</t>
  </si>
  <si>
    <t xml:space="preserve">Timing risk is just risk with better excuses.</t>
  </si>
  <si>
    <t xml:space="preserve">The thesis was right, the timing was not → margin and time → sizing for duration → the fix</t>
  </si>
  <si>
    <t xml:space="preserve">Positions financed with leverage can be liquidated long before a thesis plays out</t>
  </si>
  <si>
    <t xml:space="preserve">A correct call you could not hold is indistinguishable from a wrong one.</t>
  </si>
  <si>
    <t xml:space="preserve">Spot vs futures choice on Hotcoin</t>
  </si>
  <si>
    <t xml:space="preserve">Timing risk is just risk with better excuses.
→ The thesis was right, the timing was not
→ margin and time
→ sizing for duration
→ the fix
A correct call you could not hold is indistinguishable from a wrong one.</t>
  </si>
  <si>
    <t xml:space="preserve">Build FILE 030 then render being-early-costs-the-same-as-being-wrong-vertical and being-early-costs-the-same-as-being-wrong-horizontal</t>
  </si>
  <si>
    <t xml:space="preserve">FILE 031</t>
  </si>
  <si>
    <t xml:space="preserve">The Day Money Stopped Being Gold</t>
  </si>
  <si>
    <t xml:space="preserve">In 1971 the dollar quietly stopped being a receipt.</t>
  </si>
  <si>
    <t xml:space="preserve">Bretton Woods → the gold window → the Nixon shock → the world of floating currency</t>
  </si>
  <si>
    <t xml:space="preserve">The US ended dollar convertibility into gold in August 1971</t>
  </si>
  <si>
    <t xml:space="preserve">Since 1971, money has been a shared agreement rather than a claim on metal.</t>
  </si>
  <si>
    <t xml:space="preserve">In 1971 the dollar quietly stopped being a receipt.
→ Bretton Woods
→ the gold window
→ the Nixon shock
→ the world of floating currency
Since 1971, money has been a shared agreement rather than a claim on metal.</t>
  </si>
  <si>
    <t xml:space="preserve">Build FILE 031 then render the-day-money-stopped-being-gold-vertical and the-day-money-stopped-being-gold-horizontal</t>
  </si>
  <si>
    <t xml:space="preserve">FILE 032</t>
  </si>
  <si>
    <t xml:space="preserve">How to Read an Order Book</t>
  </si>
  <si>
    <t xml:space="preserve">Every price you see is two queues arguing.</t>
  </si>
  <si>
    <t xml:space="preserve">Bids and asks → depth → the spread → why the top of book is not the whole story</t>
  </si>
  <si>
    <t xml:space="preserve">The visible spread often understates true cost once size is included</t>
  </si>
  <si>
    <t xml:space="preserve">The order book is the only honest thing on the screen.</t>
  </si>
  <si>
    <t xml:space="preserve">Full depth view on Hotcoin</t>
  </si>
  <si>
    <t xml:space="preserve">Every price you see is two queues arguing.
→ Bids and asks
→ depth
→ the spread
→ why the top of book is not the whole story
The order book is the only honest thing on the screen.</t>
  </si>
  <si>
    <t xml:space="preserve">Build FILE 032 then render how-to-read-an-order-book-vertical and how-to-read-an-order-book-horizontal</t>
  </si>
  <si>
    <t xml:space="preserve">FILE 033</t>
  </si>
  <si>
    <t xml:space="preserve">Alpha, Beta and Edge</t>
  </si>
  <si>
    <t xml:space="preserve">Three words traders use to ask one question: am I actually good?</t>
  </si>
  <si>
    <t xml:space="preserve">Beta as market exposure → alpha as the rest → edge as repeatability → why most alpha is hidden beta</t>
  </si>
  <si>
    <t xml:space="preserve">Most retail outperformance in bull markets is beta, not alpha</t>
  </si>
  <si>
    <t xml:space="preserve">If it disappears when the market stops rising, it was never alpha.</t>
  </si>
  <si>
    <t xml:space="preserve">Copy trading performance data on Hotcoin</t>
  </si>
  <si>
    <t xml:space="preserve">Three words traders use to ask one question: am I actually good?
→ Beta as market exposure
→ alpha as the rest
→ edge as repeatability
→ why most alpha is hidden beta
If it disappears when the market stops rising, it was never alpha.</t>
  </si>
  <si>
    <t xml:space="preserve">Build FILE 033 then render alpha-beta-and-edge-vertical and alpha-beta-and-edge-horizontal</t>
  </si>
  <si>
    <t xml:space="preserve">FILE 034</t>
  </si>
  <si>
    <t xml:space="preserve">Copy Trading, Explained Honestly</t>
  </si>
  <si>
    <t xml:space="preserve">Copying a trader means copying their risk, not just their entries.</t>
  </si>
  <si>
    <t xml:space="preserve">How copy trading works → why drawdown matters more than returns → sizing → what to check first</t>
  </si>
  <si>
    <t xml:space="preserve">A strategy's maximum drawdown is a better filter than its total return</t>
  </si>
  <si>
    <t xml:space="preserve">Copy the risk profile you can survive, not the return you want.</t>
  </si>
  <si>
    <t xml:space="preserve">Copy trading with top providers on Hotcoin</t>
  </si>
  <si>
    <t xml:space="preserve">Copying a trader means copying their risk, not just their entries.
→ How copy trading works
→ why drawdown matters more than returns
→ sizing
→ what to check first
Copy the risk profile you can survive, not the return you want.</t>
  </si>
  <si>
    <t xml:space="preserve">Build FILE 034 then render copy-trading-explained-honestly-vertical and copy-trading-explained-honestly-horizontal</t>
  </si>
  <si>
    <t xml:space="preserve">FILE 035</t>
  </si>
  <si>
    <t xml:space="preserve">Tokenized Stocks: What You Actually Own</t>
  </si>
  <si>
    <t xml:space="preserve">A tokenized share is a claim, and the claim is the product.</t>
  </si>
  <si>
    <t xml:space="preserve">The wrapper → the issuer → what rights transfer → what does not</t>
  </si>
  <si>
    <t xml:space="preserve">Tokenized equity products give price exposure without traditional share registry ownership</t>
  </si>
  <si>
    <t xml:space="preserve">With tokenized assets, read who owes you what before you read the chart.</t>
  </si>
  <si>
    <t xml:space="preserve">Tokenized US stocks on Hotcoin</t>
  </si>
  <si>
    <t xml:space="preserve">A tokenized share is a claim, and the claim is the product.
→ The wrapper
→ the issuer
→ what rights transfer
→ what does not
With tokenized assets, read who owes you what before you read the chart.</t>
  </si>
  <si>
    <t xml:space="preserve">Build FILE 035 then render tokenized-stocks-what-you-actually-own-vertical and tokenized-stocks-what-you-actually-own-horizontal</t>
  </si>
  <si>
    <t xml:space="preserve">FILE 036</t>
  </si>
  <si>
    <t xml:space="preserve">Drawdown Is a Feeling Before It Is a Number</t>
  </si>
  <si>
    <t xml:space="preserve">Most people quit a strategy at the exact worst moment.</t>
  </si>
  <si>
    <t xml:space="preserve">Drawdown depth → duration → behavioural response → planning for it in advance</t>
  </si>
  <si>
    <t xml:space="preserve">Strategy abandonment tends to peak near the trough of a drawdown</t>
  </si>
  <si>
    <t xml:space="preserve">Decide what you will do in a drawdown before you are in one.</t>
  </si>
  <si>
    <t xml:space="preserve">Risk dashboards on Hotcoin</t>
  </si>
  <si>
    <t xml:space="preserve">Most people quit a strategy at the exact worst moment.
→ Drawdown depth
→ duration
→ behavioural response
→ planning for it in advance
Decide what you will do in a drawdown before you are in one.</t>
  </si>
  <si>
    <t xml:space="preserve">Build FILE 036 then render drawdown-is-a-feeling-before-it-is-a-number-vertical and drawdown-is-a-feeling-before-it-is-a-number-horizontal</t>
  </si>
  <si>
    <t xml:space="preserve">FILE 037</t>
  </si>
  <si>
    <t xml:space="preserve">From Ticker Tape to Fibre Optics</t>
  </si>
  <si>
    <t xml:space="preserve">Finance has spent 150 years buying milliseconds.</t>
  </si>
  <si>
    <t xml:space="preserve">1867 ticker → telephone → electronic quotes → microwave towers and colocation</t>
  </si>
  <si>
    <t xml:space="preserve">The stock ticker was introduced in 1867 and cut news delay from days to minutes</t>
  </si>
  <si>
    <t xml:space="preserve">Every generation of market technology sold the same product: less delay.</t>
  </si>
  <si>
    <t xml:space="preserve">Matching engine performance at Hotcoin</t>
  </si>
  <si>
    <t xml:space="preserve">Finance has spent 150 years buying milliseconds.
→ 1867 ticker
→ telephone
→ electronic quotes
→ microwave towers and colocation
Every generation of market technology sold the same product: less delay.</t>
  </si>
  <si>
    <t xml:space="preserve">Build FILE 037 then render from-ticker-tape-to-fibre-optics-vertical and from-ticker-tape-to-fibre-optics-horizontal</t>
  </si>
  <si>
    <t xml:space="preserve">FILE 038</t>
  </si>
  <si>
    <t xml:space="preserve">Wallets: Hot, Cold and In Between</t>
  </si>
  <si>
    <t xml:space="preserve">A wallet does not hold coins. It holds permission.</t>
  </si>
  <si>
    <t xml:space="preserve">Keys vs coins → hot wallet → cold wallet → multisig and the practical middle</t>
  </si>
  <si>
    <t xml:space="preserve">Crypto wallets store private keys, while balances live on the chain</t>
  </si>
  <si>
    <t xml:space="preserve">You are not storing money. You are storing the ability to move it.</t>
  </si>
  <si>
    <t xml:space="preserve">Wallet and withdrawal security on Hotcoin</t>
  </si>
  <si>
    <t xml:space="preserve">A wallet does not hold coins. It holds permission.
→ Keys vs coins
→ hot wallet
→ cold wallet
→ multisig and the practical middle
You are not storing money. You are storing the ability to move it.</t>
  </si>
  <si>
    <t xml:space="preserve">Build FILE 038 then render wallets-hot-cold-and-in-between-vertical and wallets-hot-cold-and-in-between-horizontal</t>
  </si>
  <si>
    <t xml:space="preserve">FILE 039</t>
  </si>
  <si>
    <t xml:space="preserve">Pump, Dump and Wash Trading</t>
  </si>
  <si>
    <t xml:space="preserve">Three old crimes with new vocabulary.</t>
  </si>
  <si>
    <t xml:space="preserve">Pump groups → wash trading → fake volume → how to spot manufactured activity</t>
  </si>
  <si>
    <t xml:space="preserve">Wash trading inflates reported volume without changing beneficial ownership</t>
  </si>
  <si>
    <t xml:space="preserve">If the volume has no order book behind it, the volume is a costume.</t>
  </si>
  <si>
    <t xml:space="preserve">Real volume and surveillance at Hotcoin</t>
  </si>
  <si>
    <t xml:space="preserve">Three old crimes with new vocabulary.
→ Pump groups
→ wash trading
→ fake volume
→ how to spot manufactured activity
If the volume has no order book behind it, the volume is a costume.</t>
  </si>
  <si>
    <t xml:space="preserve">Build FILE 039 then render pump-dump-and-wash-trading-vertical and pump-dump-and-wash-trading-horizontal</t>
  </si>
  <si>
    <t xml:space="preserve">FILE 040</t>
  </si>
  <si>
    <t xml:space="preserve">Spot vs Futures</t>
  </si>
  <si>
    <t xml:space="preserve">One buys the thing. One buys an argument about the thing.</t>
  </si>
  <si>
    <t xml:space="preserve">Ownership vs contract → leverage → funding → when each is appropriate</t>
  </si>
  <si>
    <t xml:space="preserve">Perpetual futures have no expiry, unlike traditional futures contracts</t>
  </si>
  <si>
    <t xml:space="preserve">Spot is a position. Futures is a position with a deadline attached.</t>
  </si>
  <si>
    <t xml:space="preserve">Spot and futures in one Hotcoin account</t>
  </si>
  <si>
    <t xml:space="preserve">One buys the thing. One buys an argument about the thing.
→ Ownership vs contract
→ leverage
→ funding
→ when each is appropriate
Spot is a position. Futures is a position with a deadline attached.</t>
  </si>
  <si>
    <t xml:space="preserve">Build FILE 040 then render spot-vs-futures-vertical and spot-vs-futures-horizontal</t>
  </si>
  <si>
    <t xml:space="preserve">FILE 041</t>
  </si>
  <si>
    <t xml:space="preserve">How a Company Goes Public</t>
  </si>
  <si>
    <t xml:space="preserve">An IPO is the moment private risk becomes public property.</t>
  </si>
  <si>
    <t xml:space="preserve">Underwriting → book building → the pop → lockups</t>
  </si>
  <si>
    <t xml:space="preserve">IPO allocations are typically distributed by underwriters, not on the open market</t>
  </si>
  <si>
    <t xml:space="preserve">The IPO price is negotiated. The first trade is the first honest number.</t>
  </si>
  <si>
    <t xml:space="preserve">Tokenized equity access on Hotcoin</t>
  </si>
  <si>
    <t xml:space="preserve">An IPO is the moment private risk becomes public property.
→ Underwriting
→ book building
→ the pop
→ lockups
The IPO price is negotiated. The first trade is the first honest number.</t>
  </si>
  <si>
    <t xml:space="preserve">Build FILE 041 then render how-a-company-goes-public-vertical and how-a-company-goes-public-horizontal</t>
  </si>
  <si>
    <t xml:space="preserve">FILE 042</t>
  </si>
  <si>
    <t xml:space="preserve">Correlation Goes to One When It Matters</t>
  </si>
  <si>
    <t xml:space="preserve">Diversification works right up until the day you need it.</t>
  </si>
  <si>
    <t xml:space="preserve">Normal correlation → crisis correlation → why assets converge → what actually diversifies</t>
  </si>
  <si>
    <t xml:space="preserve">In March 2020 most asset classes fell together before recovering separately</t>
  </si>
  <si>
    <t xml:space="preserve">Test a portfolio against a bad week, not an average year.</t>
  </si>
  <si>
    <t xml:space="preserve">Diversification works right up until the day you need it.
→ Normal correlation
→ crisis correlation
→ why assets converge
→ what actually diversifies
Test a portfolio against a bad week, not an average year.</t>
  </si>
  <si>
    <t xml:space="preserve">Build FILE 042 then render correlation-goes-to-one-when-it-matters-vertical and correlation-goes-to-one-when-it-matters-horizontal</t>
  </si>
  <si>
    <t xml:space="preserve">FILE 043</t>
  </si>
  <si>
    <t xml:space="preserve">Prediction Markets Are Older Than Polling</t>
  </si>
  <si>
    <t xml:space="preserve">People bet on elections in New York before anyone polled them.</t>
  </si>
  <si>
    <t xml:space="preserve">Wall Street election betting → the polling era → modern prediction markets → why prices beat opinions</t>
  </si>
  <si>
    <t xml:space="preserve">Large election betting markets operated on Wall Street from the 1880s to the 1930s</t>
  </si>
  <si>
    <t xml:space="preserve">A market makes people pay for their opinion. That is why it is informative.</t>
  </si>
  <si>
    <t xml:space="preserve">Prediction market on Hotcoin</t>
  </si>
  <si>
    <t xml:space="preserve">People bet on elections in New York before anyone polled them.
→ Wall Street election betting
→ the polling era
→ modern prediction markets
→ why prices beat opinions
A market makes people pay for their opinion. That is why it is informative.</t>
  </si>
  <si>
    <t xml:space="preserve">Build FILE 043 then render prediction-markets-are-older-than-polling-vertical and prediction-markets-are-older-than-polling-horizontal</t>
  </si>
  <si>
    <t xml:space="preserve">FILE 044</t>
  </si>
  <si>
    <t xml:space="preserve">What a Smart Contract Can and Cannot Do</t>
  </si>
  <si>
    <t xml:space="preserve">Code can hold money. It cannot hold intent.</t>
  </si>
  <si>
    <t xml:space="preserve">Deterministic execution → oracles → the limits → why exploits are logic, not hacking</t>
  </si>
  <si>
    <t xml:space="preserve">Most large DeFi exploits target contract logic rather than cryptography</t>
  </si>
  <si>
    <t xml:space="preserve">A smart contract does exactly what it says, which is rarely what you meant.</t>
  </si>
  <si>
    <t xml:space="preserve">Code can hold money. It cannot hold intent.
→ Deterministic execution
→ oracles
→ the limits
→ why exploits are logic, not hacking
A smart contract does exactly what it says, which is rarely what you meant.</t>
  </si>
  <si>
    <t xml:space="preserve">Build FILE 044 then render what-a-smart-contract-can-and-cannot-do-vertical and what-a-smart-contract-can-and-cannot-do-horizontal</t>
  </si>
  <si>
    <t xml:space="preserve">FILE 045</t>
  </si>
  <si>
    <t xml:space="preserve">TVL, Market Cap and Numbers People Misuse</t>
  </si>
  <si>
    <t xml:space="preserve">Market cap is not money that went in.</t>
  </si>
  <si>
    <t xml:space="preserve">Market cap maths → circulating vs total supply → TVL double counting → better metrics</t>
  </si>
  <si>
    <t xml:space="preserve">Market cap equals price times circulating supply, not capital invested</t>
  </si>
  <si>
    <t xml:space="preserve">Every headline number has a denominator. Check it before you quote it.</t>
  </si>
  <si>
    <t xml:space="preserve">Market cap is not money that went in.
→ Market cap maths
→ circulating vs total supply
→ TVL double counting
→ better metrics
Every headline number has a denominator. Check it before you quote it.</t>
  </si>
  <si>
    <t xml:space="preserve">Build FILE 045 then render tvl-market-cap-and-numbers-people-misuse-vertical and tvl-market-cap-and-numbers-people-misuse-horizontal</t>
  </si>
  <si>
    <t xml:space="preserve">FILE 046</t>
  </si>
  <si>
    <t xml:space="preserve">Slippage, Spread and the Invisible Fee</t>
  </si>
  <si>
    <t xml:space="preserve">The fee you see is rarely the fee you pay.</t>
  </si>
  <si>
    <t xml:space="preserve">Explicit fees → spread → slippage → market impact</t>
  </si>
  <si>
    <t xml:space="preserve">For large orders, market impact usually exceeds the stated trading fee</t>
  </si>
  <si>
    <t xml:space="preserve">Total cost is fee plus spread plus impact. Only one is advertised.</t>
  </si>
  <si>
    <t xml:space="preserve">Fee schedule on Hotcoin</t>
  </si>
  <si>
    <t xml:space="preserve">The fee you see is rarely the fee you pay.
→ Explicit fees
→ spread
→ slippage
→ market impact
Total cost is fee plus spread plus impact. Only one is advertised.</t>
  </si>
  <si>
    <t xml:space="preserve">Build FILE 046 then render slippage-spread-and-the-invisible-fee-vertical and slippage-spread-and-the-invisible-fee-horizontal</t>
  </si>
  <si>
    <t xml:space="preserve">FILE 047</t>
  </si>
  <si>
    <t xml:space="preserve">What Central Banks Actually Control</t>
  </si>
  <si>
    <t xml:space="preserve">A central bank sets one rate and hopes the rest follow.</t>
  </si>
  <si>
    <t xml:space="preserve">Policy rate → transmission → balance sheet → why crypto reacts to CPI and Fed days</t>
  </si>
  <si>
    <t xml:space="preserve">Central banks set short-term rates directly and influence longer rates indirectly</t>
  </si>
  <si>
    <t xml:space="preserve">Central banks set the price of time. Everything else is priced off it.</t>
  </si>
  <si>
    <t xml:space="preserve">Macro calendar on Hotcoin</t>
  </si>
  <si>
    <t xml:space="preserve">A central bank sets one rate and hopes the rest follow.
→ Policy rate
→ transmission
→ balance sheet
→ why crypto reacts to CPI and Fed days
Central banks set the price of time. Everything else is priced off it.</t>
  </si>
  <si>
    <t xml:space="preserve">Build FILE 047 then render what-central-banks-actually-control-vertical and what-central-banks-actually-control-horizontal</t>
  </si>
  <si>
    <t xml:space="preserve">FILE 048</t>
  </si>
  <si>
    <t xml:space="preserve">Why Backtests Lie</t>
  </si>
  <si>
    <t xml:space="preserve">Every strategy is profitable in a world that already happened.</t>
  </si>
  <si>
    <t xml:space="preserve">Overfitting → survivorship → look-ahead bias → walk-forward testing</t>
  </si>
  <si>
    <t xml:space="preserve">Backtests that use the full dataset for tuning routinely overstate live results</t>
  </si>
  <si>
    <t xml:space="preserve">A backtest is a hypothesis, not evidence.</t>
  </si>
  <si>
    <t xml:space="preserve">Strategy tools on Hotcoin</t>
  </si>
  <si>
    <t xml:space="preserve">Every strategy is profitable in a world that already happened.
→ Overfitting
→ survivorship
→ look-ahead bias
→ walk-forward testing
A backtest is a hypothesis, not evidence.</t>
  </si>
  <si>
    <t xml:space="preserve">Build FILE 048 then render why-backtests-lie-vertical and why-backtests-lie-horizontal</t>
  </si>
  <si>
    <t xml:space="preserve">FILE 049</t>
  </si>
  <si>
    <t xml:space="preserve">The First Index Fund Was Mocked for Years</t>
  </si>
  <si>
    <t xml:space="preserve">In 1976 buying the whole market was called un-American.</t>
  </si>
  <si>
    <t xml:space="preserve">Vanguard's launch → the criticism → the slow win → what it proved about fees</t>
  </si>
  <si>
    <t xml:space="preserve">Vanguard launched the first retail index fund in 1976 and raised far less than targeted</t>
  </si>
  <si>
    <t xml:space="preserve">The cheapest version of an idea usually wins, eventually.</t>
  </si>
  <si>
    <t xml:space="preserve">Fee transparency on Hotcoin</t>
  </si>
  <si>
    <t xml:space="preserve">In 1976 buying the whole market was called un-American.
→ Vanguard's launch
→ the criticism
→ the slow win
→ what it proved about fees
The cheapest version of an idea usually wins, eventually.</t>
  </si>
  <si>
    <t xml:space="preserve">Build FILE 049 then render the-first-index-fund-was-mocked-for-years-vertical and the-first-index-fund-was-mocked-for-years-horizontal</t>
  </si>
  <si>
    <t xml:space="preserve">FILE 050</t>
  </si>
  <si>
    <t xml:space="preserve">Bridges and Where the Risk Hides</t>
  </si>
  <si>
    <t xml:space="preserve">Most big crypto losses did not happen on a chain. They happened between two.</t>
  </si>
  <si>
    <t xml:space="preserve">Why bridges exist → lock and mint → the attack surface → safer patterns</t>
  </si>
  <si>
    <t xml:space="preserve">Cross-chain bridges have been among the largest single loss events in crypto</t>
  </si>
  <si>
    <t xml:space="preserve">The risk is not in the chains. It is in the seam between them.</t>
  </si>
  <si>
    <t xml:space="preserve">Deposits and withdrawals on Hotcoin</t>
  </si>
  <si>
    <t xml:space="preserve">Most big crypto losses did not happen on a chain. They happened between two.
→ Why bridges exist
→ lock and mint
→ the attack surface
→ safer patterns
The risk is not in the chains. It is in the seam between them.</t>
  </si>
  <si>
    <t xml:space="preserve">Build FILE 050 then render bridges-and-where-the-risk-hides-vertical and bridges-and-where-the-risk-hides-horizontal</t>
  </si>
  <si>
    <t xml:space="preserve">FILE 051</t>
  </si>
  <si>
    <t xml:space="preserve">GM, Ser, Anon: The Culture Layer</t>
  </si>
  <si>
    <t xml:space="preserve">Crypto talks in a dialect. Here is the phrasebook.</t>
  </si>
  <si>
    <t xml:space="preserve">gm → ser → anon → why pseudonymity shapes the language</t>
  </si>
  <si>
    <t xml:space="preserve">Crypto communities largely operate under pseudonymous identity by default</t>
  </si>
  <si>
    <t xml:space="preserve">The dialect is a membership test. Knowing it is not the same as understanding the market.</t>
  </si>
  <si>
    <t xml:space="preserve">Crypto talks in a dialect. Here is the phrasebook.
→ gm
→ ser
→ anon
→ why pseudonymity shapes the language
The dialect is a membership test. Knowing it is not the same as understanding the market.</t>
  </si>
  <si>
    <t xml:space="preserve">Build FILE 051 then render gm-ser-anon-the-culture-layer-vertical and gm-ser-anon-the-culture-layer-horizontal</t>
  </si>
  <si>
    <t xml:space="preserve">FILE 052</t>
  </si>
  <si>
    <t xml:space="preserve">Risk-Reward Is a Ratio, Not a Vibe</t>
  </si>
  <si>
    <t xml:space="preserve">A 30% win rate can be very profitable. A 70% one can bankrupt you.</t>
  </si>
  <si>
    <t xml:space="preserve">Expectancy → R multiples → why win rate alone is meaningless → worked example</t>
  </si>
  <si>
    <t xml:space="preserve">Expectancy combines win rate and average win/loss size, not win rate alone</t>
  </si>
  <si>
    <t xml:space="preserve">Ask what you win when right and lose when wrong, before asking how often you are right.</t>
  </si>
  <si>
    <t xml:space="preserve">Risk tools on Hotcoin</t>
  </si>
  <si>
    <t xml:space="preserve">A 30% win rate can be very profitable. A 70% one can bankrupt you.
→ Expectancy
→ R multiples
→ why win rate alone is meaningless
→ worked example
Ask what you win when right and lose when wrong, before asking how often you are right.</t>
  </si>
  <si>
    <t xml:space="preserve">Build FILE 052 then render risk-reward-is-a-ratio-not-a-vibe-vertical and risk-reward-is-a-ratio-not-a-vibe-horizontal</t>
  </si>
  <si>
    <t xml:space="preserve">FILE 053</t>
  </si>
  <si>
    <t xml:space="preserve">Commodities and Why Oil Has a Calendar</t>
  </si>
  <si>
    <t xml:space="preserve">Oil is not one price. It is a queue of future prices.</t>
  </si>
  <si>
    <t xml:space="preserve">Spot vs futures curve → contango and backwardation → storage → why ETFs bleed</t>
  </si>
  <si>
    <t xml:space="preserve">In April 2020 the front month WTI contract briefly settled below zero</t>
  </si>
  <si>
    <t xml:space="preserve">In commodities the curve is the product, not the spot price.</t>
  </si>
  <si>
    <t xml:space="preserve">Macro coverage on Hotcoin</t>
  </si>
  <si>
    <t xml:space="preserve">Oil is not one price. It is a queue of future prices.
→ Spot vs futures curve
→ contango and backwardation
→ storage
→ why ETFs bleed
In commodities the curve is the product, not the spot price.</t>
  </si>
  <si>
    <t xml:space="preserve">Build FILE 053 then render commodities-and-why-oil-has-a-calendar-vertical and commodities-and-why-oil-has-a-calendar-horizontal</t>
  </si>
  <si>
    <t xml:space="preserve">FILE 054</t>
  </si>
  <si>
    <t xml:space="preserve">Journaling: The Cheapest Edge Available</t>
  </si>
  <si>
    <t xml:space="preserve">The market keeps records. Most traders do not.</t>
  </si>
  <si>
    <t xml:space="preserve">What to log → reviewing weekly → spotting the repeated mistake → turning it into a rule</t>
  </si>
  <si>
    <t xml:space="preserve">Traders who review logged decisions identify repeated errors far faster</t>
  </si>
  <si>
    <t xml:space="preserve">You cannot fix a pattern you never wrote down.</t>
  </si>
  <si>
    <t xml:space="preserve">Trade history export on Hotcoin</t>
  </si>
  <si>
    <t xml:space="preserve">The market keeps records. Most traders do not.
→ What to log
→ reviewing weekly
→ spotting the repeated mistake
→ turning it into a rule
You cannot fix a pattern you never wrote down.</t>
  </si>
  <si>
    <t xml:space="preserve">Build FILE 054 then render journaling-the-cheapest-edge-available-vertical and journaling-the-cheapest-edge-available-horizontal</t>
  </si>
  <si>
    <t xml:space="preserve">FILE 055</t>
  </si>
  <si>
    <t xml:space="preserve">Every Crash Rhymes</t>
  </si>
  <si>
    <t xml:space="preserve">1637, 1929, 2000, 2008, 2022. Five crashes, one script.</t>
  </si>
  <si>
    <t xml:space="preserve">New technology or asset → leverage → a story that justifies any price → the margin call</t>
  </si>
  <si>
    <t xml:space="preserve">Each of these episodes combined a new asset narrative with expanding credit</t>
  </si>
  <si>
    <t xml:space="preserve">The asset changes every time. The leverage never does.</t>
  </si>
  <si>
    <t xml:space="preserve">1637, 1929, 2000, 2008, 2022. Five crashes, one script.
→ New technology or asset
→ leverage
→ a story that justifies any price
→ the margin call
The asset changes every time. The leverage never does.</t>
  </si>
  <si>
    <t xml:space="preserve">Build FILE 055 then render every-crash-rhymes-vertical and every-crash-rhymes-horizontal</t>
  </si>
  <si>
    <t xml:space="preserve">FILE 056</t>
  </si>
  <si>
    <t xml:space="preserve">Prediction Markets, Explained</t>
  </si>
  <si>
    <t xml:space="preserve">A prediction market prices probability instead of profit.</t>
  </si>
  <si>
    <t xml:space="preserve">How contracts settle → reading a price as a probability → why they aggregate information → limits</t>
  </si>
  <si>
    <t xml:space="preserve">In a binary prediction market a price of 0.62 implies roughly a 62% chance</t>
  </si>
  <si>
    <t xml:space="preserve">A prediction market turns opinions into prices, and prices into information.</t>
  </si>
  <si>
    <t xml:space="preserve">A prediction market prices probability instead of profit.
→ How contracts settle
→ reading a price as a probability
→ why they aggregate information
→ limits
A prediction market turns opinions into prices, and prices into information.</t>
  </si>
  <si>
    <t xml:space="preserve">Build FILE 056 then render prediction-markets-explained-vertical and prediction-markets-explained-horizontal</t>
  </si>
  <si>
    <t xml:space="preserve">FILE 057</t>
  </si>
  <si>
    <t xml:space="preserve">Cope, Exit Liquidity, NGMI</t>
  </si>
  <si>
    <t xml:space="preserve">The vocabulary of losing, and what it hides.</t>
  </si>
  <si>
    <t xml:space="preserve">Cope → exit liquidity → ngmi → why the joke is usually a confession</t>
  </si>
  <si>
    <t xml:space="preserve">Retail inflows often peak near local price tops</t>
  </si>
  <si>
    <t xml:space="preserve">When the community starts joking about being exit liquidity, check your own position.</t>
  </si>
  <si>
    <t xml:space="preserve">The vocabulary of losing, and what it hides.
→ Cope
→ exit liquidity
→ ngmi
→ why the joke is usually a confession
When the community starts joking about being exit liquidity, check your own position.</t>
  </si>
  <si>
    <t xml:space="preserve">Build FILE 057 then render cope-exit-liquidity-ngmi-vertical and cope-exit-liquidity-ngmi-horizontal</t>
  </si>
  <si>
    <t xml:space="preserve">FILE 058</t>
  </si>
  <si>
    <t xml:space="preserve">A Trading Plan That Fits on One Page</t>
  </si>
  <si>
    <t xml:space="preserve">If it does not fit on one page you will not follow it.</t>
  </si>
  <si>
    <t xml:space="preserve">Market and timeframe → setup → risk per trade → exit rules → review cadence</t>
  </si>
  <si>
    <t xml:space="preserve">Written rules measurably reduce discretionary deviation under stress</t>
  </si>
  <si>
    <t xml:space="preserve">A plan you actually follow beats a better plan you do not.</t>
  </si>
  <si>
    <t xml:space="preserve">Order and risk tools on Hotcoin</t>
  </si>
  <si>
    <t xml:space="preserve">If it does not fit on one page you will not follow it.
→ Market and timeframe
→ setup
→ risk per trade
→ exit rules
→ review cadence
A plan you actually follow beats a better plan you do not.</t>
  </si>
  <si>
    <t xml:space="preserve">Build FILE 058 then render a-trading-plan-that-fits-on-one-page-vertical and a-trading-plan-that-fits-on-one-page-horizontal</t>
  </si>
  <si>
    <t xml:space="preserve">FILE 059</t>
  </si>
  <si>
    <t xml:space="preserve">Fees Compound Too</t>
  </si>
  <si>
    <t xml:space="preserve">1% a year for 30 years costs roughly a quarter of the outcome.</t>
  </si>
  <si>
    <t xml:space="preserve">Fee drag maths → why it is invisible → comparing total cost → the practical check</t>
  </si>
  <si>
    <t xml:space="preserve">A 1% annual fee over 30 years can consume around a quarter of final value</t>
  </si>
  <si>
    <t xml:space="preserve">Fees are the only return you can predict with certainty.</t>
  </si>
  <si>
    <t xml:space="preserve">1% a year for 30 years costs roughly a quarter of the outcome.
→ Fee drag maths
→ why it is invisible
→ comparing total cost
→ the practical check
Fees are the only return you can predict with certainty.</t>
  </si>
  <si>
    <t xml:space="preserve">Build FILE 059 then render fees-compound-too-vertical and fees-compound-too-horizontal</t>
  </si>
  <si>
    <t xml:space="preserve">FILE 060</t>
  </si>
  <si>
    <t xml:space="preserve">What Comes After the Exchange</t>
  </si>
  <si>
    <t xml:space="preserve">Every era thought its market structure was final.</t>
  </si>
  <si>
    <t xml:space="preserve">Floor → screen → internet broker → 24/7 on-chain settlement → what is still missing</t>
  </si>
  <si>
    <t xml:space="preserve">Crypto markets trade continuously, unlike session-based traditional exchanges</t>
  </si>
  <si>
    <t xml:space="preserve">Market structure is not a destination. It is the current answer to an old question.</t>
  </si>
  <si>
    <t xml:space="preserve">All of it in one Hotcoin account</t>
  </si>
  <si>
    <t xml:space="preserve">Every era thought its market structure was final.
→ Floor
→ screen
→ internet broker
→ 24/7 on-chain settlement
→ what is still missing
Market structure is not a destination. It is the current answer to an old question.</t>
  </si>
  <si>
    <t xml:space="preserve">Build FILE 060 then render what-comes-after-the-exchange-vertical and what-comes-after-the-exchange-horizontal</t>
  </si>
  <si>
    <t xml:space="preserve">Series runs</t>
  </si>
  <si>
    <t xml:space="preserve">Episodes</t>
  </si>
  <si>
    <t xml:space="preserve">Remaining</t>
  </si>
  <si>
    <t xml:space="preserve">SERIES PILLARS</t>
  </si>
  <si>
    <t xml:space="preserve">What it covers</t>
  </si>
  <si>
    <t xml:space="preserve">Tone</t>
  </si>
  <si>
    <t xml:space="preserve">Visual devices</t>
  </si>
  <si>
    <t xml:space="preserve">Where a market mechanism came from and what it solved</t>
  </si>
  <si>
    <t xml:space="preserve">Serious, documentary</t>
  </si>
  <si>
    <t xml:space="preserve">Archive plates, timelines</t>
  </si>
  <si>
    <t xml:space="preserve">How crypto infrastructure actually works</t>
  </si>
  <si>
    <t xml:space="preserve">Plain, technical, no hype</t>
  </si>
  <si>
    <t xml:space="preserve">Diagrams, order books</t>
  </si>
  <si>
    <t xml:space="preserve">How traditional finance works and why crypto copied it</t>
  </si>
  <si>
    <t xml:space="preserve">Analytical</t>
  </si>
  <si>
    <t xml:space="preserve">Comparisons, charts</t>
  </si>
  <si>
    <t xml:space="preserve">Mechanics a trader uses on any venue</t>
  </si>
  <si>
    <t xml:space="preserve">Practical</t>
  </si>
  <si>
    <t xml:space="preserve">Charts, order types</t>
  </si>
  <si>
    <t xml:space="preserve">Crypto and trading slang decoded</t>
  </si>
  <si>
    <t xml:space="preserve">Light, dry humour</t>
  </si>
  <si>
    <t xml:space="preserve">Glossary cards</t>
  </si>
  <si>
    <t xml:space="preserve">Position sizing, drawdown, psychology</t>
  </si>
  <si>
    <t xml:space="preserve">Direct, slightly blunt</t>
  </si>
  <si>
    <t xml:space="preserve">Numbers, stat cards</t>
  </si>
  <si>
    <t xml:space="preserve">Count by pillar</t>
  </si>
  <si>
    <t xml:space="preserve">HOW TO BRIEF CLAUDE ON THIS SERIES</t>
  </si>
  <si>
    <t xml:space="preserve">Copy a line, paste it into the chat, edit the bits in CAPS.</t>
  </si>
  <si>
    <t xml:space="preserve">Situation</t>
  </si>
  <si>
    <t xml:space="preserve">What to type</t>
  </si>
  <si>
    <t xml:space="preserve">Notes</t>
  </si>
  <si>
    <t xml:space="preserve">Make the next episode</t>
  </si>
  <si>
    <t xml:space="preserve">Build FILE 0NN from the schedule. Render 9:16 and 16:9.</t>
  </si>
  <si>
    <t xml:space="preserve">Pulls title, hook, beats and takeaway straight from this sheet.</t>
  </si>
  <si>
    <t xml:space="preserve">Make an episode off-schedule</t>
  </si>
  <si>
    <t xml:space="preserve">New episode: PILLAR, title TITLE, hook HOOK. Same series style. Render both formats.</t>
  </si>
  <si>
    <t xml:space="preserve">Use for reactive or news-pegged episodes.</t>
  </si>
  <si>
    <t xml:space="preserve">Change the script only</t>
  </si>
  <si>
    <t xml:space="preserve">Rewrite the beats for FILE 0NN: DESCRIBE THE CHANGE. Re-render both formats.</t>
  </si>
  <si>
    <t xml:space="preserve">Script lives in one data file per episode, so this is cheap.</t>
  </si>
  <si>
    <t xml:space="preserve">Change the look series-wide</t>
  </si>
  <si>
    <t xml:space="preserve">Update the series tokens: CHANGE. Re-render FILE 0NN as a check.</t>
  </si>
  <si>
    <t xml:space="preserve">Colours, fonts, paper texture and safe areas all live in one tokens file.</t>
  </si>
  <si>
    <t xml:space="preserve">Swap in the real logo</t>
  </si>
  <si>
    <t xml:space="preserve">Here is the Hotcoin logo file. Wire it into the series chrome.</t>
  </si>
  <si>
    <t xml:space="preserve">Drops into public/ and replaces the placeholder mark everywhere.</t>
  </si>
  <si>
    <t xml:space="preserve">Add a new scene type</t>
  </si>
  <si>
    <t xml:space="preserve">Add a new beat type called NAME that shows DESCRIPTION.</t>
  </si>
  <si>
    <t xml:space="preserve">Beat types are reusable across all future episodes.</t>
  </si>
  <si>
    <t xml:space="preserve">Preview before rendering</t>
  </si>
  <si>
    <t xml:space="preserve">Show me stills of FILE 0NN before you render the video.</t>
  </si>
  <si>
    <t xml:space="preserve">Fast. Stills take seconds, a full render takes minutes.</t>
  </si>
  <si>
    <t xml:space="preserve">Change the pace</t>
  </si>
  <si>
    <t xml:space="preserve">Make FILE 0NN NN seconds total and rebalance the beats.</t>
  </si>
  <si>
    <t xml:space="preserve">Each beat has a seconds value in the script.</t>
  </si>
  <si>
    <t xml:space="preserve">Batch a week</t>
  </si>
  <si>
    <t xml:space="preserve">Build FILE 0NN through FILE 0NN and render all of them in 9:16.</t>
  </si>
  <si>
    <t xml:space="preserve">Roughly 6 minutes of render per vertical episode.</t>
  </si>
  <si>
    <t xml:space="preserve">Get the post copy</t>
  </si>
  <si>
    <t xml:space="preserve">Give me the X, Instagram and LinkedIn copy for FILE 0NN.</t>
  </si>
  <si>
    <t xml:space="preserve">Follows the Hotcoin format: cashtags on X, dot keywords on IG, arrows not bullets.</t>
  </si>
  <si>
    <t xml:space="preserve">Change the schedule</t>
  </si>
  <si>
    <t xml:space="preserve">Shift the series to start on DATE at TIME, cadence N days.</t>
  </si>
  <si>
    <t xml:space="preserve">Only the two blue Config cells change, every date recalculates.</t>
  </si>
  <si>
    <t xml:space="preserve">Add Chinese</t>
  </si>
  <si>
    <t xml:space="preserve">Produce FILE 0NN in Chinese as well.</t>
  </si>
  <si>
    <t xml:space="preserve">Needs a CJK font added to the bundle first.</t>
  </si>
  <si>
    <t xml:space="preserve">HOTCOIN 101 — VISUAL RULES</t>
  </si>
  <si>
    <t xml:space="preserve">Surface</t>
  </si>
  <si>
    <t xml:space="preserve">Archival paper. Warm off-white, live film grain, faint letterpress grid, printer registration marks in the corners.</t>
  </si>
  <si>
    <t xml:space="preserve">Near black text. Nothing pure black, nothing pure white.</t>
  </si>
  <si>
    <t xml:space="preserve">Accent</t>
  </si>
  <si>
    <t xml:space="preserve">Hotcoin green, used only for: the logo dot, one rule per page, figure numbers, the highlight marker, the progress bar, and up candles.</t>
  </si>
  <si>
    <t xml:space="preserve">Type</t>
  </si>
  <si>
    <t xml:space="preserve">Newsreader for statements. Inter for explanation. IBM Plex Mono for labels, years and captions.</t>
  </si>
  <si>
    <t xml:space="preserve">Chrome</t>
  </si>
  <si>
    <t xml:space="preserve">Every frame carries the same header rail (mark, HOTCOIN 101, pillar, file number) and a green progress rule at the bottom. This is what makes episodes recognisable in a feed.</t>
  </si>
  <si>
    <t xml:space="preserve">Motion</t>
  </si>
  <si>
    <t xml:space="preserve">Ink rise on text, pen draw on illustrations, paper shift between pages. No slides, no zooms, no glow.</t>
  </si>
  <si>
    <t xml:space="preserve">Illustration</t>
  </si>
  <si>
    <t xml:space="preserve">Procedural line engravings inside a bordered plate with FIG. NN captions. No stock imagery, no 3D, no neon.</t>
  </si>
  <si>
    <t xml:space="preserve">Structure</t>
  </si>
  <si>
    <t xml:space="preserve">Cold open hook, title card, four to six figure or data beats, one comparison, one stat, takeaway. Always standalone, never references another episode.</t>
  </si>
  <si>
    <t xml:space="preserve">Promotion</t>
  </si>
  <si>
    <t xml:space="preserve">One Hotcoin line in the closing frame and at most one product mention inside the body. Never a first-person brand voice.</t>
  </si>
  <si>
    <t xml:space="preserve">9:16 for Reels, TikTok, Shorts and X vertical. 16:9 for YouTube, LinkedIn and X landscape. Same script, layout adapts.</t>
  </si>
  <si>
    <t xml:space="preserve">Safe areas</t>
  </si>
  <si>
    <t xml:space="preserve">Vertical keeps the top 19% and bottom 25% clear of key text so platform UI never covers it.</t>
  </si>
  <si>
    <t xml:space="preserve">Rendered silent by design. Music bed and optional VO added in CapCut so one render serves several audio variants.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</si>
</sst>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170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B7A42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7A42"/>
        <bgColor rgb="FF008080"/>
      </patternFill>
    </fill>
    <fill>
      <patternFill patternType="solid">
        <fgColor rgb="FFFA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42"/>
      <rgbColor rgb="FFD9D2C2"/>
      <rgbColor rgb="FF808080"/>
      <rgbColor rgb="FF9999FF"/>
      <rgbColor rgb="FF993366"/>
      <rgbColor rgb="FFFA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60</v>
      </c>
    </row>
    <row r="6" customFormat="false" ht="15" hidden="false" customHeight="false" outlineLevel="0" collapsed="false">
      <c r="A6" s="2" t="s">
        <v>6</v>
      </c>
      <c r="B6" s="3" t="n">
        <v>1.5</v>
      </c>
    </row>
    <row r="7" customFormat="false" ht="15" hidden="false" customHeight="false" outlineLevel="0" collapsed="false">
      <c r="A7" s="2" t="s">
        <v>7</v>
      </c>
      <c r="B7" s="4" t="n">
        <v>46260.8333333333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n">
        <v>30</v>
      </c>
    </row>
    <row r="11" customFormat="false" ht="15" hidden="false" customHeight="false" outlineLevel="0" collapsed="false">
      <c r="A11" s="2" t="s">
        <v>13</v>
      </c>
      <c r="B11" s="3" t="s">
        <v>14</v>
      </c>
    </row>
    <row r="12" customFormat="false" ht="15" hidden="false" customHeight="false" outlineLevel="0" collapsed="false">
      <c r="A12" s="2" t="s">
        <v>15</v>
      </c>
      <c r="B12" s="3" t="s">
        <v>16</v>
      </c>
    </row>
    <row r="13" customFormat="false" ht="15" hidden="false" customHeight="false" outlineLevel="0" collapsed="false">
      <c r="A13" s="2" t="s">
        <v>17</v>
      </c>
      <c r="B13" s="3" t="s">
        <v>18</v>
      </c>
    </row>
    <row r="14" customFormat="false" ht="15" hidden="false" customHeight="false" outlineLevel="0" collapsed="false">
      <c r="A14" s="2" t="s">
        <v>19</v>
      </c>
      <c r="B14" s="3" t="s">
        <v>20</v>
      </c>
    </row>
    <row r="15" customFormat="false" ht="15" hidden="false" customHeight="false" outlineLevel="0" collapsed="false">
      <c r="A15" s="2" t="s">
        <v>21</v>
      </c>
      <c r="B15" s="3" t="s">
        <v>22</v>
      </c>
    </row>
    <row r="16" customFormat="false" ht="1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9" customFormat="false" ht="15" hidden="false" customHeight="false" outlineLevel="0" collapsed="false">
      <c r="A19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46"/>
    <col collapsed="false" customWidth="true" hidden="false" outlineLevel="0" max="8" min="8" style="0" width="56"/>
    <col collapsed="false" customWidth="true" hidden="false" outlineLevel="0" max="9" min="9" style="0" width="44"/>
    <col collapsed="false" customWidth="true" hidden="false" outlineLevel="0" max="10" min="10" style="0" width="46"/>
    <col collapsed="false" customWidth="true" hidden="false" outlineLevel="0" max="11" min="11" style="0" width="30"/>
    <col collapsed="false" customWidth="true" hidden="false" outlineLevel="0" max="12" min="12" style="0" width="58"/>
    <col collapsed="false" customWidth="true" hidden="false" outlineLevel="0" max="13" min="13" style="0" width="16"/>
    <col collapsed="false" customWidth="true" hidden="false" outlineLevel="0" max="14" min="14" style="0" width="62"/>
    <col collapsed="false" customWidth="true" hidden="false" outlineLevel="0" max="15" min="15" style="0" width="12"/>
  </cols>
  <sheetData>
    <row r="1" customFormat="false" ht="30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</row>
    <row r="2" customFormat="false" ht="91.5" hidden="false" customHeight="true" outlineLevel="0" collapsed="false">
      <c r="A2" s="7" t="n">
        <v>1</v>
      </c>
      <c r="B2" s="8" t="s">
        <v>43</v>
      </c>
      <c r="C2" s="9" t="n">
        <f aca="false">Config!$B$7+(1-1)*Config!$B$6</f>
        <v>46260.8333333333</v>
      </c>
      <c r="D2" s="7" t="str">
        <f aca="false">TEXT(C2,"ddd")</f>
        <v>Wed</v>
      </c>
      <c r="E2" s="10" t="s">
        <v>44</v>
      </c>
      <c r="F2" s="11" t="s">
        <v>45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  <c r="L2" s="7" t="s">
        <v>51</v>
      </c>
      <c r="M2" s="7" t="s">
        <v>52</v>
      </c>
      <c r="N2" s="7" t="s">
        <v>53</v>
      </c>
      <c r="O2" s="7" t="s">
        <v>54</v>
      </c>
    </row>
    <row r="3" customFormat="false" ht="91.5" hidden="false" customHeight="true" outlineLevel="0" collapsed="false">
      <c r="A3" s="12" t="n">
        <v>2</v>
      </c>
      <c r="B3" s="13" t="s">
        <v>55</v>
      </c>
      <c r="C3" s="14" t="n">
        <f aca="false">Config!$B$7+(2-1)*Config!$B$6</f>
        <v>46262.3333333333</v>
      </c>
      <c r="D3" s="12" t="str">
        <f aca="false">TEXT(C3,"ddd")</f>
        <v>Fri</v>
      </c>
      <c r="E3" s="15" t="s">
        <v>56</v>
      </c>
      <c r="F3" s="16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52</v>
      </c>
      <c r="N3" s="12" t="s">
        <v>64</v>
      </c>
      <c r="O3" s="12" t="s">
        <v>65</v>
      </c>
    </row>
    <row r="4" customFormat="false" ht="91.5" hidden="false" customHeight="true" outlineLevel="0" collapsed="false">
      <c r="A4" s="7" t="n">
        <v>3</v>
      </c>
      <c r="B4" s="8" t="s">
        <v>66</v>
      </c>
      <c r="C4" s="9" t="n">
        <f aca="false">Config!$B$7+(3-1)*Config!$B$6</f>
        <v>46263.8333333333</v>
      </c>
      <c r="D4" s="7" t="str">
        <f aca="false">TEXT(C4,"ddd")</f>
        <v>Sat</v>
      </c>
      <c r="E4" s="10" t="s">
        <v>67</v>
      </c>
      <c r="F4" s="11" t="s">
        <v>68</v>
      </c>
      <c r="G4" s="7" t="s">
        <v>69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52</v>
      </c>
      <c r="N4" s="7" t="s">
        <v>75</v>
      </c>
      <c r="O4" s="7" t="s">
        <v>65</v>
      </c>
    </row>
    <row r="5" customFormat="false" ht="91.5" hidden="false" customHeight="true" outlineLevel="0" collapsed="false">
      <c r="A5" s="12" t="n">
        <v>4</v>
      </c>
      <c r="B5" s="13" t="s">
        <v>76</v>
      </c>
      <c r="C5" s="14" t="n">
        <f aca="false">Config!$B$7+(4-1)*Config!$B$6</f>
        <v>46265.3333333333</v>
      </c>
      <c r="D5" s="12" t="str">
        <f aca="false">TEXT(C5,"ddd")</f>
        <v>Mon</v>
      </c>
      <c r="E5" s="15" t="s">
        <v>77</v>
      </c>
      <c r="F5" s="16" t="s">
        <v>78</v>
      </c>
      <c r="G5" s="12" t="s">
        <v>79</v>
      </c>
      <c r="H5" s="12" t="s">
        <v>80</v>
      </c>
      <c r="I5" s="12" t="s">
        <v>81</v>
      </c>
      <c r="J5" s="12" t="s">
        <v>82</v>
      </c>
      <c r="K5" s="12" t="s">
        <v>62</v>
      </c>
      <c r="L5" s="12" t="s">
        <v>83</v>
      </c>
      <c r="M5" s="12" t="s">
        <v>52</v>
      </c>
      <c r="N5" s="12" t="s">
        <v>84</v>
      </c>
      <c r="O5" s="12" t="s">
        <v>65</v>
      </c>
    </row>
    <row r="6" customFormat="false" ht="91.5" hidden="false" customHeight="true" outlineLevel="0" collapsed="false">
      <c r="A6" s="7" t="n">
        <v>5</v>
      </c>
      <c r="B6" s="8" t="s">
        <v>85</v>
      </c>
      <c r="C6" s="9" t="n">
        <f aca="false">Config!$B$7+(5-1)*Config!$B$6</f>
        <v>46266.8333333333</v>
      </c>
      <c r="D6" s="7" t="str">
        <f aca="false">TEXT(C6,"ddd")</f>
        <v>Tue</v>
      </c>
      <c r="E6" s="10" t="s">
        <v>86</v>
      </c>
      <c r="F6" s="11" t="s">
        <v>87</v>
      </c>
      <c r="G6" s="7" t="s">
        <v>88</v>
      </c>
      <c r="H6" s="7" t="s">
        <v>89</v>
      </c>
      <c r="I6" s="7" t="s">
        <v>90</v>
      </c>
      <c r="J6" s="7" t="s">
        <v>91</v>
      </c>
      <c r="K6" s="7" t="s">
        <v>92</v>
      </c>
      <c r="L6" s="7" t="s">
        <v>93</v>
      </c>
      <c r="M6" s="7" t="s">
        <v>52</v>
      </c>
      <c r="N6" s="7" t="s">
        <v>94</v>
      </c>
      <c r="O6" s="7" t="s">
        <v>65</v>
      </c>
    </row>
    <row r="7" customFormat="false" ht="91.5" hidden="false" customHeight="true" outlineLevel="0" collapsed="false">
      <c r="A7" s="12" t="n">
        <v>6</v>
      </c>
      <c r="B7" s="13" t="s">
        <v>95</v>
      </c>
      <c r="C7" s="14" t="n">
        <f aca="false">Config!$B$7+(6-1)*Config!$B$6</f>
        <v>46268.3333333333</v>
      </c>
      <c r="D7" s="12" t="str">
        <f aca="false">TEXT(C7,"ddd")</f>
        <v>Thu</v>
      </c>
      <c r="E7" s="15" t="s">
        <v>96</v>
      </c>
      <c r="F7" s="16" t="s">
        <v>97</v>
      </c>
      <c r="G7" s="12" t="s">
        <v>98</v>
      </c>
      <c r="H7" s="12" t="s">
        <v>99</v>
      </c>
      <c r="I7" s="12" t="s">
        <v>100</v>
      </c>
      <c r="J7" s="12" t="s">
        <v>101</v>
      </c>
      <c r="K7" s="12" t="s">
        <v>102</v>
      </c>
      <c r="L7" s="12" t="s">
        <v>103</v>
      </c>
      <c r="M7" s="12" t="s">
        <v>52</v>
      </c>
      <c r="N7" s="12" t="s">
        <v>104</v>
      </c>
      <c r="O7" s="12" t="s">
        <v>65</v>
      </c>
    </row>
    <row r="8" customFormat="false" ht="91.5" hidden="false" customHeight="true" outlineLevel="0" collapsed="false">
      <c r="A8" s="7" t="n">
        <v>7</v>
      </c>
      <c r="B8" s="8" t="s">
        <v>105</v>
      </c>
      <c r="C8" s="9" t="n">
        <f aca="false">Config!$B$7+(7-1)*Config!$B$6</f>
        <v>46269.8333333333</v>
      </c>
      <c r="D8" s="7" t="str">
        <f aca="false">TEXT(C8,"ddd")</f>
        <v>Fri</v>
      </c>
      <c r="E8" s="10" t="s">
        <v>44</v>
      </c>
      <c r="F8" s="11" t="s">
        <v>106</v>
      </c>
      <c r="G8" s="7" t="s">
        <v>107</v>
      </c>
      <c r="H8" s="7" t="s">
        <v>108</v>
      </c>
      <c r="I8" s="7" t="s">
        <v>109</v>
      </c>
      <c r="J8" s="7" t="s">
        <v>110</v>
      </c>
      <c r="K8" s="7" t="s">
        <v>62</v>
      </c>
      <c r="L8" s="7" t="s">
        <v>111</v>
      </c>
      <c r="M8" s="7" t="s">
        <v>52</v>
      </c>
      <c r="N8" s="7" t="s">
        <v>112</v>
      </c>
      <c r="O8" s="7" t="s">
        <v>65</v>
      </c>
    </row>
    <row r="9" customFormat="false" ht="91.5" hidden="false" customHeight="true" outlineLevel="0" collapsed="false">
      <c r="A9" s="12" t="n">
        <v>8</v>
      </c>
      <c r="B9" s="13" t="s">
        <v>113</v>
      </c>
      <c r="C9" s="14" t="n">
        <f aca="false">Config!$B$7+(8-1)*Config!$B$6</f>
        <v>46271.3333333333</v>
      </c>
      <c r="D9" s="12" t="str">
        <f aca="false">TEXT(C9,"ddd")</f>
        <v>Sun</v>
      </c>
      <c r="E9" s="15" t="s">
        <v>56</v>
      </c>
      <c r="F9" s="16" t="s">
        <v>114</v>
      </c>
      <c r="G9" s="12" t="s">
        <v>115</v>
      </c>
      <c r="H9" s="12" t="s">
        <v>116</v>
      </c>
      <c r="I9" s="12" t="s">
        <v>117</v>
      </c>
      <c r="J9" s="12" t="s">
        <v>118</v>
      </c>
      <c r="K9" s="12" t="s">
        <v>62</v>
      </c>
      <c r="L9" s="12" t="s">
        <v>119</v>
      </c>
      <c r="M9" s="12" t="s">
        <v>52</v>
      </c>
      <c r="N9" s="12" t="s">
        <v>120</v>
      </c>
      <c r="O9" s="12" t="s">
        <v>65</v>
      </c>
    </row>
    <row r="10" customFormat="false" ht="91.5" hidden="false" customHeight="true" outlineLevel="0" collapsed="false">
      <c r="A10" s="7" t="n">
        <v>9</v>
      </c>
      <c r="B10" s="8" t="s">
        <v>121</v>
      </c>
      <c r="C10" s="9" t="n">
        <f aca="false">Config!$B$7+(9-1)*Config!$B$6</f>
        <v>46272.8333333333</v>
      </c>
      <c r="D10" s="7" t="str">
        <f aca="false">TEXT(C10,"ddd")</f>
        <v>Mon</v>
      </c>
      <c r="E10" s="10" t="s">
        <v>77</v>
      </c>
      <c r="F10" s="11" t="s">
        <v>122</v>
      </c>
      <c r="G10" s="7" t="s">
        <v>123</v>
      </c>
      <c r="H10" s="7" t="s">
        <v>124</v>
      </c>
      <c r="I10" s="7" t="s">
        <v>125</v>
      </c>
      <c r="J10" s="7" t="s">
        <v>126</v>
      </c>
      <c r="K10" s="7" t="s">
        <v>127</v>
      </c>
      <c r="L10" s="7" t="s">
        <v>128</v>
      </c>
      <c r="M10" s="7" t="s">
        <v>52</v>
      </c>
      <c r="N10" s="7" t="s">
        <v>129</v>
      </c>
      <c r="O10" s="7" t="s">
        <v>65</v>
      </c>
    </row>
    <row r="11" customFormat="false" ht="91.5" hidden="false" customHeight="true" outlineLevel="0" collapsed="false">
      <c r="A11" s="12" t="n">
        <v>10</v>
      </c>
      <c r="B11" s="13" t="s">
        <v>130</v>
      </c>
      <c r="C11" s="14" t="n">
        <f aca="false">Config!$B$7+(10-1)*Config!$B$6</f>
        <v>46274.3333333333</v>
      </c>
      <c r="D11" s="12" t="str">
        <f aca="false">TEXT(C11,"ddd")</f>
        <v>Wed</v>
      </c>
      <c r="E11" s="15" t="s">
        <v>67</v>
      </c>
      <c r="F11" s="16" t="s">
        <v>131</v>
      </c>
      <c r="G11" s="12" t="s">
        <v>132</v>
      </c>
      <c r="H11" s="12" t="s">
        <v>133</v>
      </c>
      <c r="I11" s="12" t="s">
        <v>134</v>
      </c>
      <c r="J11" s="12" t="s">
        <v>135</v>
      </c>
      <c r="K11" s="12" t="s">
        <v>136</v>
      </c>
      <c r="L11" s="12" t="s">
        <v>137</v>
      </c>
      <c r="M11" s="12" t="s">
        <v>52</v>
      </c>
      <c r="N11" s="12" t="s">
        <v>138</v>
      </c>
      <c r="O11" s="12" t="s">
        <v>65</v>
      </c>
    </row>
    <row r="12" customFormat="false" ht="91.5" hidden="false" customHeight="true" outlineLevel="0" collapsed="false">
      <c r="A12" s="7" t="n">
        <v>11</v>
      </c>
      <c r="B12" s="8" t="s">
        <v>139</v>
      </c>
      <c r="C12" s="9" t="n">
        <f aca="false">Config!$B$7+(11-1)*Config!$B$6</f>
        <v>46275.8333333333</v>
      </c>
      <c r="D12" s="7" t="str">
        <f aca="false">TEXT(C12,"ddd")</f>
        <v>Thu</v>
      </c>
      <c r="E12" s="10" t="s">
        <v>86</v>
      </c>
      <c r="F12" s="11" t="s">
        <v>140</v>
      </c>
      <c r="G12" s="7" t="s">
        <v>141</v>
      </c>
      <c r="H12" s="7" t="s">
        <v>142</v>
      </c>
      <c r="I12" s="7" t="s">
        <v>143</v>
      </c>
      <c r="J12" s="7" t="s">
        <v>144</v>
      </c>
      <c r="K12" s="7" t="s">
        <v>145</v>
      </c>
      <c r="L12" s="7" t="s">
        <v>146</v>
      </c>
      <c r="M12" s="7" t="s">
        <v>52</v>
      </c>
      <c r="N12" s="7" t="s">
        <v>147</v>
      </c>
      <c r="O12" s="7" t="s">
        <v>65</v>
      </c>
    </row>
    <row r="13" customFormat="false" ht="91.5" hidden="false" customHeight="true" outlineLevel="0" collapsed="false">
      <c r="A13" s="12" t="n">
        <v>12</v>
      </c>
      <c r="B13" s="13" t="s">
        <v>148</v>
      </c>
      <c r="C13" s="14" t="n">
        <f aca="false">Config!$B$7+(12-1)*Config!$B$6</f>
        <v>46277.3333333333</v>
      </c>
      <c r="D13" s="12" t="str">
        <f aca="false">TEXT(C13,"ddd")</f>
        <v>Sat</v>
      </c>
      <c r="E13" s="15" t="s">
        <v>96</v>
      </c>
      <c r="F13" s="16" t="s">
        <v>149</v>
      </c>
      <c r="G13" s="12" t="s">
        <v>150</v>
      </c>
      <c r="H13" s="12" t="s">
        <v>151</v>
      </c>
      <c r="I13" s="12" t="s">
        <v>152</v>
      </c>
      <c r="J13" s="12" t="s">
        <v>153</v>
      </c>
      <c r="K13" s="12" t="s">
        <v>154</v>
      </c>
      <c r="L13" s="12" t="s">
        <v>155</v>
      </c>
      <c r="M13" s="12" t="s">
        <v>52</v>
      </c>
      <c r="N13" s="12" t="s">
        <v>156</v>
      </c>
      <c r="O13" s="12" t="s">
        <v>65</v>
      </c>
    </row>
    <row r="14" customFormat="false" ht="91.5" hidden="false" customHeight="true" outlineLevel="0" collapsed="false">
      <c r="A14" s="7" t="n">
        <v>13</v>
      </c>
      <c r="B14" s="8" t="s">
        <v>157</v>
      </c>
      <c r="C14" s="9" t="n">
        <f aca="false">Config!$B$7+(13-1)*Config!$B$6</f>
        <v>46278.8333333333</v>
      </c>
      <c r="D14" s="7" t="str">
        <f aca="false">TEXT(C14,"ddd")</f>
        <v>Sun</v>
      </c>
      <c r="E14" s="10" t="s">
        <v>44</v>
      </c>
      <c r="F14" s="11" t="s">
        <v>158</v>
      </c>
      <c r="G14" s="7" t="s">
        <v>159</v>
      </c>
      <c r="H14" s="7" t="s">
        <v>160</v>
      </c>
      <c r="I14" s="7" t="s">
        <v>161</v>
      </c>
      <c r="J14" s="7" t="s">
        <v>162</v>
      </c>
      <c r="K14" s="7" t="s">
        <v>62</v>
      </c>
      <c r="L14" s="7" t="s">
        <v>163</v>
      </c>
      <c r="M14" s="7" t="s">
        <v>52</v>
      </c>
      <c r="N14" s="7" t="s">
        <v>164</v>
      </c>
      <c r="O14" s="7" t="s">
        <v>65</v>
      </c>
    </row>
    <row r="15" customFormat="false" ht="91.5" hidden="false" customHeight="true" outlineLevel="0" collapsed="false">
      <c r="A15" s="12" t="n">
        <v>14</v>
      </c>
      <c r="B15" s="13" t="s">
        <v>165</v>
      </c>
      <c r="C15" s="14" t="n">
        <f aca="false">Config!$B$7+(14-1)*Config!$B$6</f>
        <v>46280.3333333333</v>
      </c>
      <c r="D15" s="12" t="str">
        <f aca="false">TEXT(C15,"ddd")</f>
        <v>Tue</v>
      </c>
      <c r="E15" s="15" t="s">
        <v>77</v>
      </c>
      <c r="F15" s="16" t="s">
        <v>166</v>
      </c>
      <c r="G15" s="12" t="s">
        <v>167</v>
      </c>
      <c r="H15" s="12" t="s">
        <v>168</v>
      </c>
      <c r="I15" s="12" t="s">
        <v>169</v>
      </c>
      <c r="J15" s="12" t="s">
        <v>170</v>
      </c>
      <c r="K15" s="12" t="s">
        <v>171</v>
      </c>
      <c r="L15" s="12" t="s">
        <v>172</v>
      </c>
      <c r="M15" s="12" t="s">
        <v>52</v>
      </c>
      <c r="N15" s="12" t="s">
        <v>173</v>
      </c>
      <c r="O15" s="12" t="s">
        <v>65</v>
      </c>
    </row>
    <row r="16" customFormat="false" ht="91.5" hidden="false" customHeight="true" outlineLevel="0" collapsed="false">
      <c r="A16" s="7" t="n">
        <v>15</v>
      </c>
      <c r="B16" s="8" t="s">
        <v>174</v>
      </c>
      <c r="C16" s="9" t="n">
        <f aca="false">Config!$B$7+(15-1)*Config!$B$6</f>
        <v>46281.8333333333</v>
      </c>
      <c r="D16" s="7" t="str">
        <f aca="false">TEXT(C16,"ddd")</f>
        <v>Wed</v>
      </c>
      <c r="E16" s="10" t="s">
        <v>56</v>
      </c>
      <c r="F16" s="11" t="s">
        <v>175</v>
      </c>
      <c r="G16" s="7" t="s">
        <v>176</v>
      </c>
      <c r="H16" s="7" t="s">
        <v>177</v>
      </c>
      <c r="I16" s="7" t="s">
        <v>178</v>
      </c>
      <c r="J16" s="7" t="s">
        <v>179</v>
      </c>
      <c r="K16" s="7" t="s">
        <v>62</v>
      </c>
      <c r="L16" s="7" t="s">
        <v>180</v>
      </c>
      <c r="M16" s="7" t="s">
        <v>52</v>
      </c>
      <c r="N16" s="7" t="s">
        <v>181</v>
      </c>
      <c r="O16" s="7" t="s">
        <v>65</v>
      </c>
    </row>
    <row r="17" customFormat="false" ht="91.5" hidden="false" customHeight="true" outlineLevel="0" collapsed="false">
      <c r="A17" s="12" t="n">
        <v>16</v>
      </c>
      <c r="B17" s="13" t="s">
        <v>182</v>
      </c>
      <c r="C17" s="14" t="n">
        <f aca="false">Config!$B$7+(16-1)*Config!$B$6</f>
        <v>46283.3333333333</v>
      </c>
      <c r="D17" s="12" t="str">
        <f aca="false">TEXT(C17,"ddd")</f>
        <v>Fri</v>
      </c>
      <c r="E17" s="15" t="s">
        <v>67</v>
      </c>
      <c r="F17" s="16" t="s">
        <v>183</v>
      </c>
      <c r="G17" s="12" t="s">
        <v>184</v>
      </c>
      <c r="H17" s="12" t="s">
        <v>185</v>
      </c>
      <c r="I17" s="12" t="s">
        <v>186</v>
      </c>
      <c r="J17" s="12" t="s">
        <v>187</v>
      </c>
      <c r="K17" s="12" t="s">
        <v>188</v>
      </c>
      <c r="L17" s="12" t="s">
        <v>189</v>
      </c>
      <c r="M17" s="12" t="s">
        <v>52</v>
      </c>
      <c r="N17" s="12" t="s">
        <v>190</v>
      </c>
      <c r="O17" s="12" t="s">
        <v>65</v>
      </c>
    </row>
    <row r="18" customFormat="false" ht="91.5" hidden="false" customHeight="true" outlineLevel="0" collapsed="false">
      <c r="A18" s="7" t="n">
        <v>17</v>
      </c>
      <c r="B18" s="8" t="s">
        <v>191</v>
      </c>
      <c r="C18" s="9" t="n">
        <f aca="false">Config!$B$7+(17-1)*Config!$B$6</f>
        <v>46284.8333333333</v>
      </c>
      <c r="D18" s="7" t="str">
        <f aca="false">TEXT(C18,"ddd")</f>
        <v>Sat</v>
      </c>
      <c r="E18" s="10" t="s">
        <v>86</v>
      </c>
      <c r="F18" s="11" t="s">
        <v>192</v>
      </c>
      <c r="G18" s="7" t="s">
        <v>193</v>
      </c>
      <c r="H18" s="7" t="s">
        <v>194</v>
      </c>
      <c r="I18" s="7" t="s">
        <v>195</v>
      </c>
      <c r="J18" s="7" t="s">
        <v>196</v>
      </c>
      <c r="K18" s="7" t="s">
        <v>197</v>
      </c>
      <c r="L18" s="7" t="s">
        <v>198</v>
      </c>
      <c r="M18" s="7" t="s">
        <v>52</v>
      </c>
      <c r="N18" s="7" t="s">
        <v>199</v>
      </c>
      <c r="O18" s="7" t="s">
        <v>65</v>
      </c>
    </row>
    <row r="19" customFormat="false" ht="91.5" hidden="false" customHeight="true" outlineLevel="0" collapsed="false">
      <c r="A19" s="12" t="n">
        <v>18</v>
      </c>
      <c r="B19" s="13" t="s">
        <v>200</v>
      </c>
      <c r="C19" s="14" t="n">
        <f aca="false">Config!$B$7+(18-1)*Config!$B$6</f>
        <v>46286.3333333333</v>
      </c>
      <c r="D19" s="12" t="str">
        <f aca="false">TEXT(C19,"ddd")</f>
        <v>Mon</v>
      </c>
      <c r="E19" s="15" t="s">
        <v>96</v>
      </c>
      <c r="F19" s="16" t="s">
        <v>201</v>
      </c>
      <c r="G19" s="12" t="s">
        <v>202</v>
      </c>
      <c r="H19" s="12" t="s">
        <v>203</v>
      </c>
      <c r="I19" s="12" t="s">
        <v>204</v>
      </c>
      <c r="J19" s="12" t="s">
        <v>205</v>
      </c>
      <c r="K19" s="12" t="s">
        <v>206</v>
      </c>
      <c r="L19" s="12" t="s">
        <v>207</v>
      </c>
      <c r="M19" s="12" t="s">
        <v>52</v>
      </c>
      <c r="N19" s="12" t="s">
        <v>208</v>
      </c>
      <c r="O19" s="12" t="s">
        <v>65</v>
      </c>
    </row>
    <row r="20" customFormat="false" ht="91.5" hidden="false" customHeight="true" outlineLevel="0" collapsed="false">
      <c r="A20" s="7" t="n">
        <v>19</v>
      </c>
      <c r="B20" s="8" t="s">
        <v>209</v>
      </c>
      <c r="C20" s="9" t="n">
        <f aca="false">Config!$B$7+(19-1)*Config!$B$6</f>
        <v>46287.8333333333</v>
      </c>
      <c r="D20" s="7" t="str">
        <f aca="false">TEXT(C20,"ddd")</f>
        <v>Tue</v>
      </c>
      <c r="E20" s="10" t="s">
        <v>44</v>
      </c>
      <c r="F20" s="11" t="s">
        <v>210</v>
      </c>
      <c r="G20" s="7" t="s">
        <v>211</v>
      </c>
      <c r="H20" s="7" t="s">
        <v>212</v>
      </c>
      <c r="I20" s="7" t="s">
        <v>213</v>
      </c>
      <c r="J20" s="7" t="s">
        <v>214</v>
      </c>
      <c r="K20" s="7" t="s">
        <v>62</v>
      </c>
      <c r="L20" s="7" t="s">
        <v>215</v>
      </c>
      <c r="M20" s="7" t="s">
        <v>52</v>
      </c>
      <c r="N20" s="7" t="s">
        <v>216</v>
      </c>
      <c r="O20" s="7" t="s">
        <v>65</v>
      </c>
    </row>
    <row r="21" customFormat="false" ht="91.5" hidden="false" customHeight="true" outlineLevel="0" collapsed="false">
      <c r="A21" s="12" t="n">
        <v>20</v>
      </c>
      <c r="B21" s="13" t="s">
        <v>217</v>
      </c>
      <c r="C21" s="14" t="n">
        <f aca="false">Config!$B$7+(20-1)*Config!$B$6</f>
        <v>46289.3333333333</v>
      </c>
      <c r="D21" s="12" t="str">
        <f aca="false">TEXT(C21,"ddd")</f>
        <v>Thu</v>
      </c>
      <c r="E21" s="15" t="s">
        <v>77</v>
      </c>
      <c r="F21" s="16" t="s">
        <v>218</v>
      </c>
      <c r="G21" s="12" t="s">
        <v>219</v>
      </c>
      <c r="H21" s="12" t="s">
        <v>220</v>
      </c>
      <c r="I21" s="12" t="s">
        <v>221</v>
      </c>
      <c r="J21" s="12" t="s">
        <v>222</v>
      </c>
      <c r="K21" s="12" t="s">
        <v>223</v>
      </c>
      <c r="L21" s="12" t="s">
        <v>224</v>
      </c>
      <c r="M21" s="12" t="s">
        <v>52</v>
      </c>
      <c r="N21" s="12" t="s">
        <v>225</v>
      </c>
      <c r="O21" s="12" t="s">
        <v>65</v>
      </c>
    </row>
    <row r="22" customFormat="false" ht="91.5" hidden="false" customHeight="true" outlineLevel="0" collapsed="false">
      <c r="A22" s="7" t="n">
        <v>21</v>
      </c>
      <c r="B22" s="8" t="s">
        <v>226</v>
      </c>
      <c r="C22" s="9" t="n">
        <f aca="false">Config!$B$7+(21-1)*Config!$B$6</f>
        <v>46290.8333333333</v>
      </c>
      <c r="D22" s="7" t="str">
        <f aca="false">TEXT(C22,"ddd")</f>
        <v>Fri</v>
      </c>
      <c r="E22" s="10" t="s">
        <v>56</v>
      </c>
      <c r="F22" s="11" t="s">
        <v>227</v>
      </c>
      <c r="G22" s="7" t="s">
        <v>228</v>
      </c>
      <c r="H22" s="7" t="s">
        <v>229</v>
      </c>
      <c r="I22" s="7" t="s">
        <v>230</v>
      </c>
      <c r="J22" s="7" t="s">
        <v>231</v>
      </c>
      <c r="K22" s="7" t="s">
        <v>232</v>
      </c>
      <c r="L22" s="7" t="s">
        <v>233</v>
      </c>
      <c r="M22" s="7" t="s">
        <v>52</v>
      </c>
      <c r="N22" s="7" t="s">
        <v>234</v>
      </c>
      <c r="O22" s="7" t="s">
        <v>65</v>
      </c>
    </row>
    <row r="23" customFormat="false" ht="91.5" hidden="false" customHeight="true" outlineLevel="0" collapsed="false">
      <c r="A23" s="12" t="n">
        <v>22</v>
      </c>
      <c r="B23" s="13" t="s">
        <v>235</v>
      </c>
      <c r="C23" s="14" t="n">
        <f aca="false">Config!$B$7+(22-1)*Config!$B$6</f>
        <v>46292.3333333333</v>
      </c>
      <c r="D23" s="12" t="str">
        <f aca="false">TEXT(C23,"ddd")</f>
        <v>Sun</v>
      </c>
      <c r="E23" s="15" t="s">
        <v>67</v>
      </c>
      <c r="F23" s="16" t="s">
        <v>236</v>
      </c>
      <c r="G23" s="12" t="s">
        <v>237</v>
      </c>
      <c r="H23" s="12" t="s">
        <v>238</v>
      </c>
      <c r="I23" s="12" t="s">
        <v>239</v>
      </c>
      <c r="J23" s="12" t="s">
        <v>240</v>
      </c>
      <c r="K23" s="12" t="s">
        <v>241</v>
      </c>
      <c r="L23" s="12" t="s">
        <v>242</v>
      </c>
      <c r="M23" s="12" t="s">
        <v>52</v>
      </c>
      <c r="N23" s="12" t="s">
        <v>243</v>
      </c>
      <c r="O23" s="12" t="s">
        <v>65</v>
      </c>
    </row>
    <row r="24" customFormat="false" ht="91.5" hidden="false" customHeight="true" outlineLevel="0" collapsed="false">
      <c r="A24" s="7" t="n">
        <v>23</v>
      </c>
      <c r="B24" s="8" t="s">
        <v>244</v>
      </c>
      <c r="C24" s="9" t="n">
        <f aca="false">Config!$B$7+(23-1)*Config!$B$6</f>
        <v>46293.8333333333</v>
      </c>
      <c r="D24" s="7" t="str">
        <f aca="false">TEXT(C24,"ddd")</f>
        <v>Mon</v>
      </c>
      <c r="E24" s="10" t="s">
        <v>86</v>
      </c>
      <c r="F24" s="11" t="s">
        <v>245</v>
      </c>
      <c r="G24" s="7" t="s">
        <v>246</v>
      </c>
      <c r="H24" s="7" t="s">
        <v>247</v>
      </c>
      <c r="I24" s="7" t="s">
        <v>248</v>
      </c>
      <c r="J24" s="7" t="s">
        <v>249</v>
      </c>
      <c r="K24" s="7" t="s">
        <v>250</v>
      </c>
      <c r="L24" s="7" t="s">
        <v>251</v>
      </c>
      <c r="M24" s="7" t="s">
        <v>52</v>
      </c>
      <c r="N24" s="7" t="s">
        <v>252</v>
      </c>
      <c r="O24" s="7" t="s">
        <v>65</v>
      </c>
    </row>
    <row r="25" customFormat="false" ht="91.5" hidden="false" customHeight="true" outlineLevel="0" collapsed="false">
      <c r="A25" s="12" t="n">
        <v>24</v>
      </c>
      <c r="B25" s="13" t="s">
        <v>253</v>
      </c>
      <c r="C25" s="14" t="n">
        <f aca="false">Config!$B$7+(24-1)*Config!$B$6</f>
        <v>46295.3333333333</v>
      </c>
      <c r="D25" s="12" t="str">
        <f aca="false">TEXT(C25,"ddd")</f>
        <v>Wed</v>
      </c>
      <c r="E25" s="15" t="s">
        <v>96</v>
      </c>
      <c r="F25" s="16" t="s">
        <v>254</v>
      </c>
      <c r="G25" s="12" t="s">
        <v>255</v>
      </c>
      <c r="H25" s="12" t="s">
        <v>256</v>
      </c>
      <c r="I25" s="12" t="s">
        <v>257</v>
      </c>
      <c r="J25" s="12" t="s">
        <v>258</v>
      </c>
      <c r="K25" s="12" t="s">
        <v>259</v>
      </c>
      <c r="L25" s="12" t="s">
        <v>260</v>
      </c>
      <c r="M25" s="12" t="s">
        <v>52</v>
      </c>
      <c r="N25" s="12" t="s">
        <v>261</v>
      </c>
      <c r="O25" s="12" t="s">
        <v>65</v>
      </c>
    </row>
    <row r="26" customFormat="false" ht="91.5" hidden="false" customHeight="true" outlineLevel="0" collapsed="false">
      <c r="A26" s="7" t="n">
        <v>25</v>
      </c>
      <c r="B26" s="8" t="s">
        <v>262</v>
      </c>
      <c r="C26" s="9" t="n">
        <f aca="false">Config!$B$7+(25-1)*Config!$B$6</f>
        <v>46296.8333333333</v>
      </c>
      <c r="D26" s="7" t="str">
        <f aca="false">TEXT(C26,"ddd")</f>
        <v>Thu</v>
      </c>
      <c r="E26" s="10" t="s">
        <v>44</v>
      </c>
      <c r="F26" s="11" t="s">
        <v>263</v>
      </c>
      <c r="G26" s="7" t="s">
        <v>264</v>
      </c>
      <c r="H26" s="7" t="s">
        <v>265</v>
      </c>
      <c r="I26" s="7" t="s">
        <v>266</v>
      </c>
      <c r="J26" s="7" t="s">
        <v>267</v>
      </c>
      <c r="K26" s="7" t="s">
        <v>268</v>
      </c>
      <c r="L26" s="7" t="s">
        <v>269</v>
      </c>
      <c r="M26" s="7" t="s">
        <v>52</v>
      </c>
      <c r="N26" s="7" t="s">
        <v>270</v>
      </c>
      <c r="O26" s="7" t="s">
        <v>65</v>
      </c>
    </row>
    <row r="27" customFormat="false" ht="91.5" hidden="false" customHeight="true" outlineLevel="0" collapsed="false">
      <c r="A27" s="12" t="n">
        <v>26</v>
      </c>
      <c r="B27" s="13" t="s">
        <v>271</v>
      </c>
      <c r="C27" s="14" t="n">
        <f aca="false">Config!$B$7+(26-1)*Config!$B$6</f>
        <v>46298.3333333333</v>
      </c>
      <c r="D27" s="12" t="str">
        <f aca="false">TEXT(C27,"ddd")</f>
        <v>Sat</v>
      </c>
      <c r="E27" s="15" t="s">
        <v>77</v>
      </c>
      <c r="F27" s="16" t="s">
        <v>272</v>
      </c>
      <c r="G27" s="12" t="s">
        <v>273</v>
      </c>
      <c r="H27" s="12" t="s">
        <v>274</v>
      </c>
      <c r="I27" s="12" t="s">
        <v>275</v>
      </c>
      <c r="J27" s="12" t="s">
        <v>276</v>
      </c>
      <c r="K27" s="12" t="s">
        <v>277</v>
      </c>
      <c r="L27" s="12" t="s">
        <v>278</v>
      </c>
      <c r="M27" s="12" t="s">
        <v>52</v>
      </c>
      <c r="N27" s="12" t="s">
        <v>279</v>
      </c>
      <c r="O27" s="12" t="s">
        <v>65</v>
      </c>
    </row>
    <row r="28" customFormat="false" ht="91.5" hidden="false" customHeight="true" outlineLevel="0" collapsed="false">
      <c r="A28" s="7" t="n">
        <v>27</v>
      </c>
      <c r="B28" s="8" t="s">
        <v>280</v>
      </c>
      <c r="C28" s="9" t="n">
        <f aca="false">Config!$B$7+(27-1)*Config!$B$6</f>
        <v>46299.8333333333</v>
      </c>
      <c r="D28" s="7" t="str">
        <f aca="false">TEXT(C28,"ddd")</f>
        <v>Sun</v>
      </c>
      <c r="E28" s="10" t="s">
        <v>56</v>
      </c>
      <c r="F28" s="11" t="s">
        <v>281</v>
      </c>
      <c r="G28" s="7" t="s">
        <v>282</v>
      </c>
      <c r="H28" s="7" t="s">
        <v>283</v>
      </c>
      <c r="I28" s="7" t="s">
        <v>284</v>
      </c>
      <c r="J28" s="7" t="s">
        <v>285</v>
      </c>
      <c r="K28" s="7" t="s">
        <v>62</v>
      </c>
      <c r="L28" s="7" t="s">
        <v>286</v>
      </c>
      <c r="M28" s="7" t="s">
        <v>52</v>
      </c>
      <c r="N28" s="7" t="s">
        <v>287</v>
      </c>
      <c r="O28" s="7" t="s">
        <v>65</v>
      </c>
    </row>
    <row r="29" customFormat="false" ht="91.5" hidden="false" customHeight="true" outlineLevel="0" collapsed="false">
      <c r="A29" s="12" t="n">
        <v>28</v>
      </c>
      <c r="B29" s="13" t="s">
        <v>288</v>
      </c>
      <c r="C29" s="14" t="n">
        <f aca="false">Config!$B$7+(28-1)*Config!$B$6</f>
        <v>46301.3333333333</v>
      </c>
      <c r="D29" s="12" t="str">
        <f aca="false">TEXT(C29,"ddd")</f>
        <v>Tue</v>
      </c>
      <c r="E29" s="15" t="s">
        <v>67</v>
      </c>
      <c r="F29" s="16" t="s">
        <v>289</v>
      </c>
      <c r="G29" s="12" t="s">
        <v>290</v>
      </c>
      <c r="H29" s="12" t="s">
        <v>291</v>
      </c>
      <c r="I29" s="12" t="s">
        <v>292</v>
      </c>
      <c r="J29" s="12" t="s">
        <v>293</v>
      </c>
      <c r="K29" s="12" t="s">
        <v>294</v>
      </c>
      <c r="L29" s="12" t="s">
        <v>295</v>
      </c>
      <c r="M29" s="12" t="s">
        <v>52</v>
      </c>
      <c r="N29" s="12" t="s">
        <v>296</v>
      </c>
      <c r="O29" s="12" t="s">
        <v>65</v>
      </c>
    </row>
    <row r="30" customFormat="false" ht="91.5" hidden="false" customHeight="true" outlineLevel="0" collapsed="false">
      <c r="A30" s="7" t="n">
        <v>29</v>
      </c>
      <c r="B30" s="8" t="s">
        <v>297</v>
      </c>
      <c r="C30" s="9" t="n">
        <f aca="false">Config!$B$7+(29-1)*Config!$B$6</f>
        <v>46302.8333333333</v>
      </c>
      <c r="D30" s="7" t="str">
        <f aca="false">TEXT(C30,"ddd")</f>
        <v>Wed</v>
      </c>
      <c r="E30" s="10" t="s">
        <v>86</v>
      </c>
      <c r="F30" s="11" t="s">
        <v>298</v>
      </c>
      <c r="G30" s="7" t="s">
        <v>299</v>
      </c>
      <c r="H30" s="7" t="s">
        <v>300</v>
      </c>
      <c r="I30" s="7" t="s">
        <v>301</v>
      </c>
      <c r="J30" s="7" t="s">
        <v>302</v>
      </c>
      <c r="K30" s="7" t="s">
        <v>145</v>
      </c>
      <c r="L30" s="7" t="s">
        <v>303</v>
      </c>
      <c r="M30" s="7" t="s">
        <v>52</v>
      </c>
      <c r="N30" s="7" t="s">
        <v>304</v>
      </c>
      <c r="O30" s="7" t="s">
        <v>65</v>
      </c>
    </row>
    <row r="31" customFormat="false" ht="91.5" hidden="false" customHeight="true" outlineLevel="0" collapsed="false">
      <c r="A31" s="12" t="n">
        <v>30</v>
      </c>
      <c r="B31" s="13" t="s">
        <v>305</v>
      </c>
      <c r="C31" s="14" t="n">
        <f aca="false">Config!$B$7+(30-1)*Config!$B$6</f>
        <v>46304.3333333333</v>
      </c>
      <c r="D31" s="12" t="str">
        <f aca="false">TEXT(C31,"ddd")</f>
        <v>Fri</v>
      </c>
      <c r="E31" s="15" t="s">
        <v>96</v>
      </c>
      <c r="F31" s="16" t="s">
        <v>306</v>
      </c>
      <c r="G31" s="12" t="s">
        <v>307</v>
      </c>
      <c r="H31" s="12" t="s">
        <v>308</v>
      </c>
      <c r="I31" s="12" t="s">
        <v>309</v>
      </c>
      <c r="J31" s="12" t="s">
        <v>310</v>
      </c>
      <c r="K31" s="12" t="s">
        <v>311</v>
      </c>
      <c r="L31" s="12" t="s">
        <v>312</v>
      </c>
      <c r="M31" s="12" t="s">
        <v>52</v>
      </c>
      <c r="N31" s="12" t="s">
        <v>313</v>
      </c>
      <c r="O31" s="12" t="s">
        <v>65</v>
      </c>
    </row>
    <row r="32" customFormat="false" ht="91.5" hidden="false" customHeight="true" outlineLevel="0" collapsed="false">
      <c r="A32" s="7" t="n">
        <v>31</v>
      </c>
      <c r="B32" s="8" t="s">
        <v>314</v>
      </c>
      <c r="C32" s="9" t="n">
        <f aca="false">Config!$B$7+(31-1)*Config!$B$6</f>
        <v>46305.8333333333</v>
      </c>
      <c r="D32" s="7" t="str">
        <f aca="false">TEXT(C32,"ddd")</f>
        <v>Sat</v>
      </c>
      <c r="E32" s="10" t="s">
        <v>44</v>
      </c>
      <c r="F32" s="11" t="s">
        <v>315</v>
      </c>
      <c r="G32" s="7" t="s">
        <v>316</v>
      </c>
      <c r="H32" s="7" t="s">
        <v>317</v>
      </c>
      <c r="I32" s="7" t="s">
        <v>318</v>
      </c>
      <c r="J32" s="7" t="s">
        <v>319</v>
      </c>
      <c r="K32" s="7" t="s">
        <v>62</v>
      </c>
      <c r="L32" s="7" t="s">
        <v>320</v>
      </c>
      <c r="M32" s="7" t="s">
        <v>52</v>
      </c>
      <c r="N32" s="7" t="s">
        <v>321</v>
      </c>
      <c r="O32" s="7" t="s">
        <v>65</v>
      </c>
    </row>
    <row r="33" customFormat="false" ht="91.5" hidden="false" customHeight="true" outlineLevel="0" collapsed="false">
      <c r="A33" s="12" t="n">
        <v>32</v>
      </c>
      <c r="B33" s="13" t="s">
        <v>322</v>
      </c>
      <c r="C33" s="14" t="n">
        <f aca="false">Config!$B$7+(32-1)*Config!$B$6</f>
        <v>46307.3333333333</v>
      </c>
      <c r="D33" s="12" t="str">
        <f aca="false">TEXT(C33,"ddd")</f>
        <v>Mon</v>
      </c>
      <c r="E33" s="15" t="s">
        <v>77</v>
      </c>
      <c r="F33" s="16" t="s">
        <v>323</v>
      </c>
      <c r="G33" s="12" t="s">
        <v>324</v>
      </c>
      <c r="H33" s="12" t="s">
        <v>325</v>
      </c>
      <c r="I33" s="12" t="s">
        <v>326</v>
      </c>
      <c r="J33" s="12" t="s">
        <v>327</v>
      </c>
      <c r="K33" s="12" t="s">
        <v>328</v>
      </c>
      <c r="L33" s="12" t="s">
        <v>329</v>
      </c>
      <c r="M33" s="12" t="s">
        <v>52</v>
      </c>
      <c r="N33" s="12" t="s">
        <v>330</v>
      </c>
      <c r="O33" s="12" t="s">
        <v>65</v>
      </c>
    </row>
    <row r="34" customFormat="false" ht="91.5" hidden="false" customHeight="true" outlineLevel="0" collapsed="false">
      <c r="A34" s="7" t="n">
        <v>33</v>
      </c>
      <c r="B34" s="8" t="s">
        <v>331</v>
      </c>
      <c r="C34" s="9" t="n">
        <f aca="false">Config!$B$7+(33-1)*Config!$B$6</f>
        <v>46308.8333333333</v>
      </c>
      <c r="D34" s="7" t="str">
        <f aca="false">TEXT(C34,"ddd")</f>
        <v>Tue</v>
      </c>
      <c r="E34" s="10" t="s">
        <v>56</v>
      </c>
      <c r="F34" s="11" t="s">
        <v>332</v>
      </c>
      <c r="G34" s="7" t="s">
        <v>333</v>
      </c>
      <c r="H34" s="7" t="s">
        <v>334</v>
      </c>
      <c r="I34" s="7" t="s">
        <v>335</v>
      </c>
      <c r="J34" s="7" t="s">
        <v>336</v>
      </c>
      <c r="K34" s="7" t="s">
        <v>337</v>
      </c>
      <c r="L34" s="7" t="s">
        <v>338</v>
      </c>
      <c r="M34" s="7" t="s">
        <v>52</v>
      </c>
      <c r="N34" s="7" t="s">
        <v>339</v>
      </c>
      <c r="O34" s="7" t="s">
        <v>65</v>
      </c>
    </row>
    <row r="35" customFormat="false" ht="91.5" hidden="false" customHeight="true" outlineLevel="0" collapsed="false">
      <c r="A35" s="12" t="n">
        <v>34</v>
      </c>
      <c r="B35" s="13" t="s">
        <v>340</v>
      </c>
      <c r="C35" s="14" t="n">
        <f aca="false">Config!$B$7+(34-1)*Config!$B$6</f>
        <v>46310.3333333333</v>
      </c>
      <c r="D35" s="12" t="str">
        <f aca="false">TEXT(C35,"ddd")</f>
        <v>Thu</v>
      </c>
      <c r="E35" s="15" t="s">
        <v>67</v>
      </c>
      <c r="F35" s="16" t="s">
        <v>341</v>
      </c>
      <c r="G35" s="12" t="s">
        <v>342</v>
      </c>
      <c r="H35" s="12" t="s">
        <v>343</v>
      </c>
      <c r="I35" s="12" t="s">
        <v>344</v>
      </c>
      <c r="J35" s="12" t="s">
        <v>345</v>
      </c>
      <c r="K35" s="12" t="s">
        <v>346</v>
      </c>
      <c r="L35" s="12" t="s">
        <v>347</v>
      </c>
      <c r="M35" s="12" t="s">
        <v>52</v>
      </c>
      <c r="N35" s="12" t="s">
        <v>348</v>
      </c>
      <c r="O35" s="12" t="s">
        <v>65</v>
      </c>
    </row>
    <row r="36" customFormat="false" ht="91.5" hidden="false" customHeight="true" outlineLevel="0" collapsed="false">
      <c r="A36" s="7" t="n">
        <v>35</v>
      </c>
      <c r="B36" s="8" t="s">
        <v>349</v>
      </c>
      <c r="C36" s="9" t="n">
        <f aca="false">Config!$B$7+(35-1)*Config!$B$6</f>
        <v>46311.8333333333</v>
      </c>
      <c r="D36" s="7" t="str">
        <f aca="false">TEXT(C36,"ddd")</f>
        <v>Fri</v>
      </c>
      <c r="E36" s="10" t="s">
        <v>86</v>
      </c>
      <c r="F36" s="11" t="s">
        <v>350</v>
      </c>
      <c r="G36" s="7" t="s">
        <v>351</v>
      </c>
      <c r="H36" s="7" t="s">
        <v>352</v>
      </c>
      <c r="I36" s="7" t="s">
        <v>353</v>
      </c>
      <c r="J36" s="7" t="s">
        <v>354</v>
      </c>
      <c r="K36" s="7" t="s">
        <v>355</v>
      </c>
      <c r="L36" s="7" t="s">
        <v>356</v>
      </c>
      <c r="M36" s="7" t="s">
        <v>52</v>
      </c>
      <c r="N36" s="7" t="s">
        <v>357</v>
      </c>
      <c r="O36" s="7" t="s">
        <v>65</v>
      </c>
    </row>
    <row r="37" customFormat="false" ht="91.5" hidden="false" customHeight="true" outlineLevel="0" collapsed="false">
      <c r="A37" s="12" t="n">
        <v>36</v>
      </c>
      <c r="B37" s="13" t="s">
        <v>358</v>
      </c>
      <c r="C37" s="14" t="n">
        <f aca="false">Config!$B$7+(36-1)*Config!$B$6</f>
        <v>46313.3333333333</v>
      </c>
      <c r="D37" s="12" t="str">
        <f aca="false">TEXT(C37,"ddd")</f>
        <v>Sun</v>
      </c>
      <c r="E37" s="15" t="s">
        <v>96</v>
      </c>
      <c r="F37" s="16" t="s">
        <v>359</v>
      </c>
      <c r="G37" s="12" t="s">
        <v>360</v>
      </c>
      <c r="H37" s="12" t="s">
        <v>361</v>
      </c>
      <c r="I37" s="12" t="s">
        <v>362</v>
      </c>
      <c r="J37" s="12" t="s">
        <v>363</v>
      </c>
      <c r="K37" s="12" t="s">
        <v>364</v>
      </c>
      <c r="L37" s="12" t="s">
        <v>365</v>
      </c>
      <c r="M37" s="12" t="s">
        <v>52</v>
      </c>
      <c r="N37" s="12" t="s">
        <v>366</v>
      </c>
      <c r="O37" s="12" t="s">
        <v>65</v>
      </c>
    </row>
    <row r="38" customFormat="false" ht="91.5" hidden="false" customHeight="true" outlineLevel="0" collapsed="false">
      <c r="A38" s="7" t="n">
        <v>37</v>
      </c>
      <c r="B38" s="8" t="s">
        <v>367</v>
      </c>
      <c r="C38" s="9" t="n">
        <f aca="false">Config!$B$7+(37-1)*Config!$B$6</f>
        <v>46314.8333333333</v>
      </c>
      <c r="D38" s="7" t="str">
        <f aca="false">TEXT(C38,"ddd")</f>
        <v>Mon</v>
      </c>
      <c r="E38" s="10" t="s">
        <v>44</v>
      </c>
      <c r="F38" s="11" t="s">
        <v>368</v>
      </c>
      <c r="G38" s="7" t="s">
        <v>369</v>
      </c>
      <c r="H38" s="7" t="s">
        <v>370</v>
      </c>
      <c r="I38" s="7" t="s">
        <v>371</v>
      </c>
      <c r="J38" s="7" t="s">
        <v>372</v>
      </c>
      <c r="K38" s="7" t="s">
        <v>373</v>
      </c>
      <c r="L38" s="7" t="s">
        <v>374</v>
      </c>
      <c r="M38" s="7" t="s">
        <v>52</v>
      </c>
      <c r="N38" s="7" t="s">
        <v>375</v>
      </c>
      <c r="O38" s="7" t="s">
        <v>65</v>
      </c>
    </row>
    <row r="39" customFormat="false" ht="91.5" hidden="false" customHeight="true" outlineLevel="0" collapsed="false">
      <c r="A39" s="12" t="n">
        <v>38</v>
      </c>
      <c r="B39" s="13" t="s">
        <v>376</v>
      </c>
      <c r="C39" s="14" t="n">
        <f aca="false">Config!$B$7+(38-1)*Config!$B$6</f>
        <v>46316.3333333333</v>
      </c>
      <c r="D39" s="12" t="str">
        <f aca="false">TEXT(C39,"ddd")</f>
        <v>Wed</v>
      </c>
      <c r="E39" s="15" t="s">
        <v>77</v>
      </c>
      <c r="F39" s="16" t="s">
        <v>377</v>
      </c>
      <c r="G39" s="12" t="s">
        <v>378</v>
      </c>
      <c r="H39" s="12" t="s">
        <v>379</v>
      </c>
      <c r="I39" s="12" t="s">
        <v>380</v>
      </c>
      <c r="J39" s="12" t="s">
        <v>381</v>
      </c>
      <c r="K39" s="12" t="s">
        <v>382</v>
      </c>
      <c r="L39" s="12" t="s">
        <v>383</v>
      </c>
      <c r="M39" s="12" t="s">
        <v>52</v>
      </c>
      <c r="N39" s="12" t="s">
        <v>384</v>
      </c>
      <c r="O39" s="12" t="s">
        <v>65</v>
      </c>
    </row>
    <row r="40" customFormat="false" ht="91.5" hidden="false" customHeight="true" outlineLevel="0" collapsed="false">
      <c r="A40" s="7" t="n">
        <v>39</v>
      </c>
      <c r="B40" s="8" t="s">
        <v>385</v>
      </c>
      <c r="C40" s="9" t="n">
        <f aca="false">Config!$B$7+(39-1)*Config!$B$6</f>
        <v>46317.8333333333</v>
      </c>
      <c r="D40" s="7" t="str">
        <f aca="false">TEXT(C40,"ddd")</f>
        <v>Thu</v>
      </c>
      <c r="E40" s="10" t="s">
        <v>56</v>
      </c>
      <c r="F40" s="11" t="s">
        <v>386</v>
      </c>
      <c r="G40" s="7" t="s">
        <v>387</v>
      </c>
      <c r="H40" s="7" t="s">
        <v>388</v>
      </c>
      <c r="I40" s="7" t="s">
        <v>389</v>
      </c>
      <c r="J40" s="7" t="s">
        <v>390</v>
      </c>
      <c r="K40" s="7" t="s">
        <v>391</v>
      </c>
      <c r="L40" s="7" t="s">
        <v>392</v>
      </c>
      <c r="M40" s="7" t="s">
        <v>52</v>
      </c>
      <c r="N40" s="7" t="s">
        <v>393</v>
      </c>
      <c r="O40" s="7" t="s">
        <v>65</v>
      </c>
    </row>
    <row r="41" customFormat="false" ht="91.5" hidden="false" customHeight="true" outlineLevel="0" collapsed="false">
      <c r="A41" s="12" t="n">
        <v>40</v>
      </c>
      <c r="B41" s="13" t="s">
        <v>394</v>
      </c>
      <c r="C41" s="14" t="n">
        <f aca="false">Config!$B$7+(40-1)*Config!$B$6</f>
        <v>46319.3333333333</v>
      </c>
      <c r="D41" s="12" t="str">
        <f aca="false">TEXT(C41,"ddd")</f>
        <v>Sat</v>
      </c>
      <c r="E41" s="15" t="s">
        <v>67</v>
      </c>
      <c r="F41" s="16" t="s">
        <v>395</v>
      </c>
      <c r="G41" s="12" t="s">
        <v>396</v>
      </c>
      <c r="H41" s="12" t="s">
        <v>397</v>
      </c>
      <c r="I41" s="12" t="s">
        <v>398</v>
      </c>
      <c r="J41" s="12" t="s">
        <v>399</v>
      </c>
      <c r="K41" s="12" t="s">
        <v>400</v>
      </c>
      <c r="L41" s="12" t="s">
        <v>401</v>
      </c>
      <c r="M41" s="12" t="s">
        <v>52</v>
      </c>
      <c r="N41" s="12" t="s">
        <v>402</v>
      </c>
      <c r="O41" s="12" t="s">
        <v>65</v>
      </c>
    </row>
    <row r="42" customFormat="false" ht="91.5" hidden="false" customHeight="true" outlineLevel="0" collapsed="false">
      <c r="A42" s="7" t="n">
        <v>41</v>
      </c>
      <c r="B42" s="8" t="s">
        <v>403</v>
      </c>
      <c r="C42" s="9" t="n">
        <f aca="false">Config!$B$7+(41-1)*Config!$B$6</f>
        <v>46320.8333333333</v>
      </c>
      <c r="D42" s="7" t="str">
        <f aca="false">TEXT(C42,"ddd")</f>
        <v>Sun</v>
      </c>
      <c r="E42" s="10" t="s">
        <v>86</v>
      </c>
      <c r="F42" s="11" t="s">
        <v>404</v>
      </c>
      <c r="G42" s="7" t="s">
        <v>405</v>
      </c>
      <c r="H42" s="7" t="s">
        <v>406</v>
      </c>
      <c r="I42" s="7" t="s">
        <v>407</v>
      </c>
      <c r="J42" s="7" t="s">
        <v>408</v>
      </c>
      <c r="K42" s="7" t="s">
        <v>409</v>
      </c>
      <c r="L42" s="7" t="s">
        <v>410</v>
      </c>
      <c r="M42" s="7" t="s">
        <v>52</v>
      </c>
      <c r="N42" s="7" t="s">
        <v>411</v>
      </c>
      <c r="O42" s="7" t="s">
        <v>65</v>
      </c>
    </row>
    <row r="43" customFormat="false" ht="91.5" hidden="false" customHeight="true" outlineLevel="0" collapsed="false">
      <c r="A43" s="12" t="n">
        <v>42</v>
      </c>
      <c r="B43" s="13" t="s">
        <v>412</v>
      </c>
      <c r="C43" s="14" t="n">
        <f aca="false">Config!$B$7+(42-1)*Config!$B$6</f>
        <v>46322.3333333333</v>
      </c>
      <c r="D43" s="12" t="str">
        <f aca="false">TEXT(C43,"ddd")</f>
        <v>Tue</v>
      </c>
      <c r="E43" s="15" t="s">
        <v>96</v>
      </c>
      <c r="F43" s="16" t="s">
        <v>413</v>
      </c>
      <c r="G43" s="12" t="s">
        <v>414</v>
      </c>
      <c r="H43" s="12" t="s">
        <v>415</v>
      </c>
      <c r="I43" s="12" t="s">
        <v>416</v>
      </c>
      <c r="J43" s="12" t="s">
        <v>417</v>
      </c>
      <c r="K43" s="12" t="s">
        <v>259</v>
      </c>
      <c r="L43" s="12" t="s">
        <v>418</v>
      </c>
      <c r="M43" s="12" t="s">
        <v>52</v>
      </c>
      <c r="N43" s="12" t="s">
        <v>419</v>
      </c>
      <c r="O43" s="12" t="s">
        <v>65</v>
      </c>
    </row>
    <row r="44" customFormat="false" ht="91.5" hidden="false" customHeight="true" outlineLevel="0" collapsed="false">
      <c r="A44" s="7" t="n">
        <v>43</v>
      </c>
      <c r="B44" s="8" t="s">
        <v>420</v>
      </c>
      <c r="C44" s="9" t="n">
        <f aca="false">Config!$B$7+(43-1)*Config!$B$6</f>
        <v>46323.8333333333</v>
      </c>
      <c r="D44" s="7" t="str">
        <f aca="false">TEXT(C44,"ddd")</f>
        <v>Wed</v>
      </c>
      <c r="E44" s="10" t="s">
        <v>44</v>
      </c>
      <c r="F44" s="11" t="s">
        <v>421</v>
      </c>
      <c r="G44" s="7" t="s">
        <v>422</v>
      </c>
      <c r="H44" s="7" t="s">
        <v>423</v>
      </c>
      <c r="I44" s="7" t="s">
        <v>424</v>
      </c>
      <c r="J44" s="7" t="s">
        <v>425</v>
      </c>
      <c r="K44" s="7" t="s">
        <v>426</v>
      </c>
      <c r="L44" s="7" t="s">
        <v>427</v>
      </c>
      <c r="M44" s="7" t="s">
        <v>52</v>
      </c>
      <c r="N44" s="7" t="s">
        <v>428</v>
      </c>
      <c r="O44" s="7" t="s">
        <v>65</v>
      </c>
    </row>
    <row r="45" customFormat="false" ht="91.5" hidden="false" customHeight="true" outlineLevel="0" collapsed="false">
      <c r="A45" s="12" t="n">
        <v>44</v>
      </c>
      <c r="B45" s="13" t="s">
        <v>429</v>
      </c>
      <c r="C45" s="14" t="n">
        <f aca="false">Config!$B$7+(44-1)*Config!$B$6</f>
        <v>46325.3333333333</v>
      </c>
      <c r="D45" s="12" t="str">
        <f aca="false">TEXT(C45,"ddd")</f>
        <v>Fri</v>
      </c>
      <c r="E45" s="15" t="s">
        <v>77</v>
      </c>
      <c r="F45" s="16" t="s">
        <v>430</v>
      </c>
      <c r="G45" s="12" t="s">
        <v>431</v>
      </c>
      <c r="H45" s="12" t="s">
        <v>432</v>
      </c>
      <c r="I45" s="12" t="s">
        <v>433</v>
      </c>
      <c r="J45" s="12" t="s">
        <v>434</v>
      </c>
      <c r="K45" s="12" t="s">
        <v>62</v>
      </c>
      <c r="L45" s="12" t="s">
        <v>435</v>
      </c>
      <c r="M45" s="12" t="s">
        <v>52</v>
      </c>
      <c r="N45" s="12" t="s">
        <v>436</v>
      </c>
      <c r="O45" s="12" t="s">
        <v>65</v>
      </c>
    </row>
    <row r="46" customFormat="false" ht="91.5" hidden="false" customHeight="true" outlineLevel="0" collapsed="false">
      <c r="A46" s="7" t="n">
        <v>45</v>
      </c>
      <c r="B46" s="8" t="s">
        <v>437</v>
      </c>
      <c r="C46" s="9" t="n">
        <f aca="false">Config!$B$7+(45-1)*Config!$B$6</f>
        <v>46326.8333333333</v>
      </c>
      <c r="D46" s="7" t="str">
        <f aca="false">TEXT(C46,"ddd")</f>
        <v>Sat</v>
      </c>
      <c r="E46" s="10" t="s">
        <v>56</v>
      </c>
      <c r="F46" s="11" t="s">
        <v>438</v>
      </c>
      <c r="G46" s="7" t="s">
        <v>439</v>
      </c>
      <c r="H46" s="7" t="s">
        <v>440</v>
      </c>
      <c r="I46" s="7" t="s">
        <v>441</v>
      </c>
      <c r="J46" s="7" t="s">
        <v>442</v>
      </c>
      <c r="K46" s="7" t="s">
        <v>62</v>
      </c>
      <c r="L46" s="7" t="s">
        <v>443</v>
      </c>
      <c r="M46" s="7" t="s">
        <v>52</v>
      </c>
      <c r="N46" s="7" t="s">
        <v>444</v>
      </c>
      <c r="O46" s="7" t="s">
        <v>65</v>
      </c>
    </row>
    <row r="47" customFormat="false" ht="91.5" hidden="false" customHeight="true" outlineLevel="0" collapsed="false">
      <c r="A47" s="12" t="n">
        <v>46</v>
      </c>
      <c r="B47" s="13" t="s">
        <v>445</v>
      </c>
      <c r="C47" s="14" t="n">
        <f aca="false">Config!$B$7+(46-1)*Config!$B$6</f>
        <v>46328.3333333333</v>
      </c>
      <c r="D47" s="12" t="str">
        <f aca="false">TEXT(C47,"ddd")</f>
        <v>Mon</v>
      </c>
      <c r="E47" s="15" t="s">
        <v>67</v>
      </c>
      <c r="F47" s="16" t="s">
        <v>446</v>
      </c>
      <c r="G47" s="12" t="s">
        <v>447</v>
      </c>
      <c r="H47" s="12" t="s">
        <v>448</v>
      </c>
      <c r="I47" s="12" t="s">
        <v>449</v>
      </c>
      <c r="J47" s="12" t="s">
        <v>450</v>
      </c>
      <c r="K47" s="12" t="s">
        <v>451</v>
      </c>
      <c r="L47" s="12" t="s">
        <v>452</v>
      </c>
      <c r="M47" s="12" t="s">
        <v>52</v>
      </c>
      <c r="N47" s="12" t="s">
        <v>453</v>
      </c>
      <c r="O47" s="12" t="s">
        <v>65</v>
      </c>
    </row>
    <row r="48" customFormat="false" ht="91.5" hidden="false" customHeight="true" outlineLevel="0" collapsed="false">
      <c r="A48" s="7" t="n">
        <v>47</v>
      </c>
      <c r="B48" s="8" t="s">
        <v>454</v>
      </c>
      <c r="C48" s="9" t="n">
        <f aca="false">Config!$B$7+(47-1)*Config!$B$6</f>
        <v>46329.8333333333</v>
      </c>
      <c r="D48" s="7" t="str">
        <f aca="false">TEXT(C48,"ddd")</f>
        <v>Tue</v>
      </c>
      <c r="E48" s="10" t="s">
        <v>86</v>
      </c>
      <c r="F48" s="11" t="s">
        <v>455</v>
      </c>
      <c r="G48" s="7" t="s">
        <v>456</v>
      </c>
      <c r="H48" s="7" t="s">
        <v>457</v>
      </c>
      <c r="I48" s="7" t="s">
        <v>458</v>
      </c>
      <c r="J48" s="7" t="s">
        <v>459</v>
      </c>
      <c r="K48" s="7" t="s">
        <v>460</v>
      </c>
      <c r="L48" s="7" t="s">
        <v>461</v>
      </c>
      <c r="M48" s="7" t="s">
        <v>52</v>
      </c>
      <c r="N48" s="7" t="s">
        <v>462</v>
      </c>
      <c r="O48" s="7" t="s">
        <v>65</v>
      </c>
    </row>
    <row r="49" customFormat="false" ht="91.5" hidden="false" customHeight="true" outlineLevel="0" collapsed="false">
      <c r="A49" s="12" t="n">
        <v>48</v>
      </c>
      <c r="B49" s="13" t="s">
        <v>463</v>
      </c>
      <c r="C49" s="14" t="n">
        <f aca="false">Config!$B$7+(48-1)*Config!$B$6</f>
        <v>46331.3333333333</v>
      </c>
      <c r="D49" s="12" t="str">
        <f aca="false">TEXT(C49,"ddd")</f>
        <v>Thu</v>
      </c>
      <c r="E49" s="15" t="s">
        <v>96</v>
      </c>
      <c r="F49" s="16" t="s">
        <v>464</v>
      </c>
      <c r="G49" s="12" t="s">
        <v>465</v>
      </c>
      <c r="H49" s="12" t="s">
        <v>466</v>
      </c>
      <c r="I49" s="12" t="s">
        <v>467</v>
      </c>
      <c r="J49" s="12" t="s">
        <v>468</v>
      </c>
      <c r="K49" s="12" t="s">
        <v>469</v>
      </c>
      <c r="L49" s="12" t="s">
        <v>470</v>
      </c>
      <c r="M49" s="12" t="s">
        <v>52</v>
      </c>
      <c r="N49" s="12" t="s">
        <v>471</v>
      </c>
      <c r="O49" s="12" t="s">
        <v>65</v>
      </c>
    </row>
    <row r="50" customFormat="false" ht="91.5" hidden="false" customHeight="true" outlineLevel="0" collapsed="false">
      <c r="A50" s="7" t="n">
        <v>49</v>
      </c>
      <c r="B50" s="8" t="s">
        <v>472</v>
      </c>
      <c r="C50" s="9" t="n">
        <f aca="false">Config!$B$7+(49-1)*Config!$B$6</f>
        <v>46332.8333333333</v>
      </c>
      <c r="D50" s="7" t="str">
        <f aca="false">TEXT(C50,"ddd")</f>
        <v>Fri</v>
      </c>
      <c r="E50" s="10" t="s">
        <v>44</v>
      </c>
      <c r="F50" s="11" t="s">
        <v>473</v>
      </c>
      <c r="G50" s="7" t="s">
        <v>474</v>
      </c>
      <c r="H50" s="7" t="s">
        <v>475</v>
      </c>
      <c r="I50" s="7" t="s">
        <v>476</v>
      </c>
      <c r="J50" s="7" t="s">
        <v>477</v>
      </c>
      <c r="K50" s="7" t="s">
        <v>478</v>
      </c>
      <c r="L50" s="7" t="s">
        <v>479</v>
      </c>
      <c r="M50" s="7" t="s">
        <v>52</v>
      </c>
      <c r="N50" s="7" t="s">
        <v>480</v>
      </c>
      <c r="O50" s="7" t="s">
        <v>65</v>
      </c>
    </row>
    <row r="51" customFormat="false" ht="91.5" hidden="false" customHeight="true" outlineLevel="0" collapsed="false">
      <c r="A51" s="12" t="n">
        <v>50</v>
      </c>
      <c r="B51" s="13" t="s">
        <v>481</v>
      </c>
      <c r="C51" s="14" t="n">
        <f aca="false">Config!$B$7+(50-1)*Config!$B$6</f>
        <v>46334.3333333333</v>
      </c>
      <c r="D51" s="12" t="str">
        <f aca="false">TEXT(C51,"ddd")</f>
        <v>Sun</v>
      </c>
      <c r="E51" s="15" t="s">
        <v>77</v>
      </c>
      <c r="F51" s="16" t="s">
        <v>482</v>
      </c>
      <c r="G51" s="12" t="s">
        <v>483</v>
      </c>
      <c r="H51" s="12" t="s">
        <v>484</v>
      </c>
      <c r="I51" s="12" t="s">
        <v>485</v>
      </c>
      <c r="J51" s="12" t="s">
        <v>486</v>
      </c>
      <c r="K51" s="12" t="s">
        <v>487</v>
      </c>
      <c r="L51" s="12" t="s">
        <v>488</v>
      </c>
      <c r="M51" s="12" t="s">
        <v>52</v>
      </c>
      <c r="N51" s="12" t="s">
        <v>489</v>
      </c>
      <c r="O51" s="12" t="s">
        <v>65</v>
      </c>
    </row>
    <row r="52" customFormat="false" ht="91.5" hidden="false" customHeight="true" outlineLevel="0" collapsed="false">
      <c r="A52" s="7" t="n">
        <v>51</v>
      </c>
      <c r="B52" s="8" t="s">
        <v>490</v>
      </c>
      <c r="C52" s="9" t="n">
        <f aca="false">Config!$B$7+(51-1)*Config!$B$6</f>
        <v>46335.8333333333</v>
      </c>
      <c r="D52" s="7" t="str">
        <f aca="false">TEXT(C52,"ddd")</f>
        <v>Mon</v>
      </c>
      <c r="E52" s="10" t="s">
        <v>56</v>
      </c>
      <c r="F52" s="11" t="s">
        <v>491</v>
      </c>
      <c r="G52" s="7" t="s">
        <v>492</v>
      </c>
      <c r="H52" s="7" t="s">
        <v>493</v>
      </c>
      <c r="I52" s="7" t="s">
        <v>494</v>
      </c>
      <c r="J52" s="7" t="s">
        <v>495</v>
      </c>
      <c r="K52" s="7" t="s">
        <v>62</v>
      </c>
      <c r="L52" s="7" t="s">
        <v>496</v>
      </c>
      <c r="M52" s="7" t="s">
        <v>52</v>
      </c>
      <c r="N52" s="7" t="s">
        <v>497</v>
      </c>
      <c r="O52" s="7" t="s">
        <v>65</v>
      </c>
    </row>
    <row r="53" customFormat="false" ht="91.5" hidden="false" customHeight="true" outlineLevel="0" collapsed="false">
      <c r="A53" s="12" t="n">
        <v>52</v>
      </c>
      <c r="B53" s="13" t="s">
        <v>498</v>
      </c>
      <c r="C53" s="14" t="n">
        <f aca="false">Config!$B$7+(52-1)*Config!$B$6</f>
        <v>46337.3333333333</v>
      </c>
      <c r="D53" s="12" t="str">
        <f aca="false">TEXT(C53,"ddd")</f>
        <v>Wed</v>
      </c>
      <c r="E53" s="15" t="s">
        <v>67</v>
      </c>
      <c r="F53" s="16" t="s">
        <v>499</v>
      </c>
      <c r="G53" s="12" t="s">
        <v>500</v>
      </c>
      <c r="H53" s="12" t="s">
        <v>501</v>
      </c>
      <c r="I53" s="12" t="s">
        <v>502</v>
      </c>
      <c r="J53" s="12" t="s">
        <v>503</v>
      </c>
      <c r="K53" s="12" t="s">
        <v>504</v>
      </c>
      <c r="L53" s="12" t="s">
        <v>505</v>
      </c>
      <c r="M53" s="12" t="s">
        <v>52</v>
      </c>
      <c r="N53" s="12" t="s">
        <v>506</v>
      </c>
      <c r="O53" s="12" t="s">
        <v>65</v>
      </c>
    </row>
    <row r="54" customFormat="false" ht="91.5" hidden="false" customHeight="true" outlineLevel="0" collapsed="false">
      <c r="A54" s="7" t="n">
        <v>53</v>
      </c>
      <c r="B54" s="8" t="s">
        <v>507</v>
      </c>
      <c r="C54" s="9" t="n">
        <f aca="false">Config!$B$7+(53-1)*Config!$B$6</f>
        <v>46338.8333333333</v>
      </c>
      <c r="D54" s="7" t="str">
        <f aca="false">TEXT(C54,"ddd")</f>
        <v>Thu</v>
      </c>
      <c r="E54" s="10" t="s">
        <v>86</v>
      </c>
      <c r="F54" s="11" t="s">
        <v>508</v>
      </c>
      <c r="G54" s="7" t="s">
        <v>509</v>
      </c>
      <c r="H54" s="7" t="s">
        <v>510</v>
      </c>
      <c r="I54" s="7" t="s">
        <v>511</v>
      </c>
      <c r="J54" s="7" t="s">
        <v>512</v>
      </c>
      <c r="K54" s="7" t="s">
        <v>513</v>
      </c>
      <c r="L54" s="7" t="s">
        <v>514</v>
      </c>
      <c r="M54" s="7" t="s">
        <v>52</v>
      </c>
      <c r="N54" s="7" t="s">
        <v>515</v>
      </c>
      <c r="O54" s="7" t="s">
        <v>65</v>
      </c>
    </row>
    <row r="55" customFormat="false" ht="91.5" hidden="false" customHeight="true" outlineLevel="0" collapsed="false">
      <c r="A55" s="12" t="n">
        <v>54</v>
      </c>
      <c r="B55" s="13" t="s">
        <v>516</v>
      </c>
      <c r="C55" s="14" t="n">
        <f aca="false">Config!$B$7+(54-1)*Config!$B$6</f>
        <v>46340.3333333333</v>
      </c>
      <c r="D55" s="12" t="str">
        <f aca="false">TEXT(C55,"ddd")</f>
        <v>Sat</v>
      </c>
      <c r="E55" s="15" t="s">
        <v>96</v>
      </c>
      <c r="F55" s="16" t="s">
        <v>517</v>
      </c>
      <c r="G55" s="12" t="s">
        <v>518</v>
      </c>
      <c r="H55" s="12" t="s">
        <v>519</v>
      </c>
      <c r="I55" s="12" t="s">
        <v>520</v>
      </c>
      <c r="J55" s="12" t="s">
        <v>521</v>
      </c>
      <c r="K55" s="12" t="s">
        <v>522</v>
      </c>
      <c r="L55" s="12" t="s">
        <v>523</v>
      </c>
      <c r="M55" s="12" t="s">
        <v>52</v>
      </c>
      <c r="N55" s="12" t="s">
        <v>524</v>
      </c>
      <c r="O55" s="12" t="s">
        <v>65</v>
      </c>
    </row>
    <row r="56" customFormat="false" ht="91.5" hidden="false" customHeight="true" outlineLevel="0" collapsed="false">
      <c r="A56" s="7" t="n">
        <v>55</v>
      </c>
      <c r="B56" s="8" t="s">
        <v>525</v>
      </c>
      <c r="C56" s="9" t="n">
        <f aca="false">Config!$B$7+(55-1)*Config!$B$6</f>
        <v>46341.8333333333</v>
      </c>
      <c r="D56" s="7" t="str">
        <f aca="false">TEXT(C56,"ddd")</f>
        <v>Sun</v>
      </c>
      <c r="E56" s="10" t="s">
        <v>44</v>
      </c>
      <c r="F56" s="11" t="s">
        <v>526</v>
      </c>
      <c r="G56" s="7" t="s">
        <v>527</v>
      </c>
      <c r="H56" s="7" t="s">
        <v>528</v>
      </c>
      <c r="I56" s="7" t="s">
        <v>529</v>
      </c>
      <c r="J56" s="7" t="s">
        <v>530</v>
      </c>
      <c r="K56" s="7" t="s">
        <v>206</v>
      </c>
      <c r="L56" s="7" t="s">
        <v>531</v>
      </c>
      <c r="M56" s="7" t="s">
        <v>52</v>
      </c>
      <c r="N56" s="7" t="s">
        <v>532</v>
      </c>
      <c r="O56" s="7" t="s">
        <v>65</v>
      </c>
    </row>
    <row r="57" customFormat="false" ht="91.5" hidden="false" customHeight="true" outlineLevel="0" collapsed="false">
      <c r="A57" s="12" t="n">
        <v>56</v>
      </c>
      <c r="B57" s="13" t="s">
        <v>533</v>
      </c>
      <c r="C57" s="14" t="n">
        <f aca="false">Config!$B$7+(56-1)*Config!$B$6</f>
        <v>46343.3333333333</v>
      </c>
      <c r="D57" s="12" t="str">
        <f aca="false">TEXT(C57,"ddd")</f>
        <v>Tue</v>
      </c>
      <c r="E57" s="15" t="s">
        <v>77</v>
      </c>
      <c r="F57" s="16" t="s">
        <v>534</v>
      </c>
      <c r="G57" s="12" t="s">
        <v>535</v>
      </c>
      <c r="H57" s="12" t="s">
        <v>536</v>
      </c>
      <c r="I57" s="12" t="s">
        <v>537</v>
      </c>
      <c r="J57" s="12" t="s">
        <v>538</v>
      </c>
      <c r="K57" s="12" t="s">
        <v>426</v>
      </c>
      <c r="L57" s="12" t="s">
        <v>539</v>
      </c>
      <c r="M57" s="12" t="s">
        <v>52</v>
      </c>
      <c r="N57" s="12" t="s">
        <v>540</v>
      </c>
      <c r="O57" s="12" t="s">
        <v>65</v>
      </c>
    </row>
    <row r="58" customFormat="false" ht="91.5" hidden="false" customHeight="true" outlineLevel="0" collapsed="false">
      <c r="A58" s="7" t="n">
        <v>57</v>
      </c>
      <c r="B58" s="8" t="s">
        <v>541</v>
      </c>
      <c r="C58" s="9" t="n">
        <f aca="false">Config!$B$7+(57-1)*Config!$B$6</f>
        <v>46344.8333333333</v>
      </c>
      <c r="D58" s="7" t="str">
        <f aca="false">TEXT(C58,"ddd")</f>
        <v>Wed</v>
      </c>
      <c r="E58" s="10" t="s">
        <v>56</v>
      </c>
      <c r="F58" s="11" t="s">
        <v>542</v>
      </c>
      <c r="G58" s="7" t="s">
        <v>543</v>
      </c>
      <c r="H58" s="7" t="s">
        <v>544</v>
      </c>
      <c r="I58" s="7" t="s">
        <v>545</v>
      </c>
      <c r="J58" s="7" t="s">
        <v>546</v>
      </c>
      <c r="K58" s="7" t="s">
        <v>62</v>
      </c>
      <c r="L58" s="7" t="s">
        <v>547</v>
      </c>
      <c r="M58" s="7" t="s">
        <v>52</v>
      </c>
      <c r="N58" s="7" t="s">
        <v>548</v>
      </c>
      <c r="O58" s="7" t="s">
        <v>65</v>
      </c>
    </row>
    <row r="59" customFormat="false" ht="91.5" hidden="false" customHeight="true" outlineLevel="0" collapsed="false">
      <c r="A59" s="12" t="n">
        <v>58</v>
      </c>
      <c r="B59" s="13" t="s">
        <v>549</v>
      </c>
      <c r="C59" s="14" t="n">
        <f aca="false">Config!$B$7+(58-1)*Config!$B$6</f>
        <v>46346.3333333333</v>
      </c>
      <c r="D59" s="12" t="str">
        <f aca="false">TEXT(C59,"ddd")</f>
        <v>Fri</v>
      </c>
      <c r="E59" s="15" t="s">
        <v>67</v>
      </c>
      <c r="F59" s="16" t="s">
        <v>550</v>
      </c>
      <c r="G59" s="12" t="s">
        <v>551</v>
      </c>
      <c r="H59" s="12" t="s">
        <v>552</v>
      </c>
      <c r="I59" s="12" t="s">
        <v>553</v>
      </c>
      <c r="J59" s="12" t="s">
        <v>554</v>
      </c>
      <c r="K59" s="12" t="s">
        <v>555</v>
      </c>
      <c r="L59" s="12" t="s">
        <v>556</v>
      </c>
      <c r="M59" s="12" t="s">
        <v>52</v>
      </c>
      <c r="N59" s="12" t="s">
        <v>557</v>
      </c>
      <c r="O59" s="12" t="s">
        <v>65</v>
      </c>
    </row>
    <row r="60" customFormat="false" ht="91.5" hidden="false" customHeight="true" outlineLevel="0" collapsed="false">
      <c r="A60" s="7" t="n">
        <v>59</v>
      </c>
      <c r="B60" s="8" t="s">
        <v>558</v>
      </c>
      <c r="C60" s="9" t="n">
        <f aca="false">Config!$B$7+(59-1)*Config!$B$6</f>
        <v>46347.8333333333</v>
      </c>
      <c r="D60" s="7" t="str">
        <f aca="false">TEXT(C60,"ddd")</f>
        <v>Sat</v>
      </c>
      <c r="E60" s="10" t="s">
        <v>86</v>
      </c>
      <c r="F60" s="11" t="s">
        <v>559</v>
      </c>
      <c r="G60" s="7" t="s">
        <v>560</v>
      </c>
      <c r="H60" s="7" t="s">
        <v>561</v>
      </c>
      <c r="I60" s="7" t="s">
        <v>562</v>
      </c>
      <c r="J60" s="7" t="s">
        <v>563</v>
      </c>
      <c r="K60" s="7" t="s">
        <v>451</v>
      </c>
      <c r="L60" s="7" t="s">
        <v>564</v>
      </c>
      <c r="M60" s="7" t="s">
        <v>52</v>
      </c>
      <c r="N60" s="7" t="s">
        <v>565</v>
      </c>
      <c r="O60" s="7" t="s">
        <v>65</v>
      </c>
    </row>
    <row r="61" customFormat="false" ht="91.5" hidden="false" customHeight="true" outlineLevel="0" collapsed="false">
      <c r="A61" s="12" t="n">
        <v>60</v>
      </c>
      <c r="B61" s="13" t="s">
        <v>566</v>
      </c>
      <c r="C61" s="14" t="n">
        <f aca="false">Config!$B$7+(60-1)*Config!$B$6</f>
        <v>46349.3333333333</v>
      </c>
      <c r="D61" s="12" t="str">
        <f aca="false">TEXT(C61,"ddd")</f>
        <v>Mon</v>
      </c>
      <c r="E61" s="15" t="s">
        <v>44</v>
      </c>
      <c r="F61" s="16" t="s">
        <v>567</v>
      </c>
      <c r="G61" s="12" t="s">
        <v>568</v>
      </c>
      <c r="H61" s="12" t="s">
        <v>569</v>
      </c>
      <c r="I61" s="12" t="s">
        <v>570</v>
      </c>
      <c r="J61" s="12" t="s">
        <v>571</v>
      </c>
      <c r="K61" s="12" t="s">
        <v>572</v>
      </c>
      <c r="L61" s="12" t="s">
        <v>573</v>
      </c>
      <c r="M61" s="12" t="s">
        <v>52</v>
      </c>
      <c r="N61" s="12" t="s">
        <v>574</v>
      </c>
      <c r="O61" s="12" t="s">
        <v>65</v>
      </c>
    </row>
    <row r="63" customFormat="false" ht="15" hidden="false" customHeight="false" outlineLevel="0" collapsed="false">
      <c r="F63" s="2" t="s">
        <v>575</v>
      </c>
      <c r="G63" s="17" t="str">
        <f aca="false">TEXT(C2,"yyyy-mm-dd")&amp;" to "&amp;TEXT(C61,"yyyy-mm-dd")</f>
        <v>2026-08-26 to 2026-11-23</v>
      </c>
    </row>
    <row r="64" customFormat="false" ht="15" hidden="false" customHeight="false" outlineLevel="0" collapsed="false">
      <c r="F64" s="2" t="s">
        <v>576</v>
      </c>
      <c r="G64" s="17" t="n">
        <f aca="false">COUNTA(B2:B61)</f>
        <v>60</v>
      </c>
    </row>
    <row r="65" customFormat="false" ht="15" hidden="false" customHeight="false" outlineLevel="0" collapsed="false">
      <c r="F65" s="2" t="s">
        <v>54</v>
      </c>
      <c r="G65" s="17" t="n">
        <f aca="false">COUNTIF(O2:O61,"Rendered")</f>
        <v>1</v>
      </c>
    </row>
    <row r="66" customFormat="false" ht="15" hidden="false" customHeight="false" outlineLevel="0" collapsed="false">
      <c r="F66" s="2" t="s">
        <v>577</v>
      </c>
      <c r="G66" s="17" t="n">
        <f aca="false">G64-G65</f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8" t="s">
        <v>578</v>
      </c>
    </row>
    <row r="3" customFormat="false" ht="15" hidden="false" customHeight="false" outlineLevel="0" collapsed="false">
      <c r="A3" s="19" t="s">
        <v>32</v>
      </c>
      <c r="B3" s="19" t="s">
        <v>579</v>
      </c>
      <c r="C3" s="19" t="s">
        <v>580</v>
      </c>
      <c r="D3" s="19" t="s">
        <v>581</v>
      </c>
    </row>
    <row r="4" customFormat="false" ht="15" hidden="false" customHeight="false" outlineLevel="0" collapsed="false">
      <c r="A4" s="20" t="s">
        <v>44</v>
      </c>
      <c r="B4" s="20" t="s">
        <v>582</v>
      </c>
      <c r="C4" s="20" t="s">
        <v>583</v>
      </c>
      <c r="D4" s="20" t="s">
        <v>584</v>
      </c>
    </row>
    <row r="5" customFormat="false" ht="15" hidden="false" customHeight="false" outlineLevel="0" collapsed="false">
      <c r="A5" s="20" t="s">
        <v>77</v>
      </c>
      <c r="B5" s="20" t="s">
        <v>585</v>
      </c>
      <c r="C5" s="20" t="s">
        <v>586</v>
      </c>
      <c r="D5" s="20" t="s">
        <v>587</v>
      </c>
    </row>
    <row r="6" customFormat="false" ht="15" hidden="false" customHeight="false" outlineLevel="0" collapsed="false">
      <c r="A6" s="20" t="s">
        <v>86</v>
      </c>
      <c r="B6" s="20" t="s">
        <v>588</v>
      </c>
      <c r="C6" s="20" t="s">
        <v>589</v>
      </c>
      <c r="D6" s="20" t="s">
        <v>590</v>
      </c>
    </row>
    <row r="7" customFormat="false" ht="15" hidden="false" customHeight="false" outlineLevel="0" collapsed="false">
      <c r="A7" s="20" t="s">
        <v>67</v>
      </c>
      <c r="B7" s="20" t="s">
        <v>591</v>
      </c>
      <c r="C7" s="20" t="s">
        <v>592</v>
      </c>
      <c r="D7" s="20" t="s">
        <v>593</v>
      </c>
    </row>
    <row r="8" customFormat="false" ht="15" hidden="false" customHeight="false" outlineLevel="0" collapsed="false">
      <c r="A8" s="20" t="s">
        <v>56</v>
      </c>
      <c r="B8" s="20" t="s">
        <v>594</v>
      </c>
      <c r="C8" s="20" t="s">
        <v>595</v>
      </c>
      <c r="D8" s="20" t="s">
        <v>596</v>
      </c>
    </row>
    <row r="9" customFormat="false" ht="15" hidden="false" customHeight="false" outlineLevel="0" collapsed="false">
      <c r="A9" s="20" t="s">
        <v>96</v>
      </c>
      <c r="B9" s="20" t="s">
        <v>597</v>
      </c>
      <c r="C9" s="20" t="s">
        <v>598</v>
      </c>
      <c r="D9" s="20" t="s">
        <v>599</v>
      </c>
    </row>
    <row r="11" customFormat="false" ht="15" hidden="false" customHeight="false" outlineLevel="0" collapsed="false">
      <c r="A11" s="2" t="s">
        <v>600</v>
      </c>
    </row>
    <row r="12" customFormat="false" ht="15" hidden="false" customHeight="false" outlineLevel="0" collapsed="false">
      <c r="A12" s="17" t="s">
        <v>44</v>
      </c>
      <c r="B12" s="17" t="n">
        <f aca="false">COUNTIF(Schedule!$E$2:$E$61,A12)</f>
        <v>11</v>
      </c>
    </row>
    <row r="13" customFormat="false" ht="15" hidden="false" customHeight="false" outlineLevel="0" collapsed="false">
      <c r="A13" s="17" t="s">
        <v>77</v>
      </c>
      <c r="B13" s="17" t="n">
        <f aca="false">COUNTIF(Schedule!$E$2:$E$61,A13)</f>
        <v>10</v>
      </c>
    </row>
    <row r="14" customFormat="false" ht="15" hidden="false" customHeight="false" outlineLevel="0" collapsed="false">
      <c r="A14" s="17" t="s">
        <v>86</v>
      </c>
      <c r="B14" s="17" t="n">
        <f aca="false">COUNTIF(Schedule!$E$2:$E$61,A14)</f>
        <v>10</v>
      </c>
    </row>
    <row r="15" customFormat="false" ht="15" hidden="false" customHeight="false" outlineLevel="0" collapsed="false">
      <c r="A15" s="17" t="s">
        <v>67</v>
      </c>
      <c r="B15" s="17" t="n">
        <f aca="false">COUNTIF(Schedule!$E$2:$E$61,A15)</f>
        <v>10</v>
      </c>
    </row>
    <row r="16" customFormat="false" ht="15" hidden="false" customHeight="false" outlineLevel="0" collapsed="false">
      <c r="A16" s="17" t="s">
        <v>56</v>
      </c>
      <c r="B16" s="17" t="n">
        <f aca="false">COUNTIF(Schedule!$E$2:$E$61,A16)</f>
        <v>10</v>
      </c>
    </row>
    <row r="17" customFormat="false" ht="15" hidden="false" customHeight="false" outlineLevel="0" collapsed="false">
      <c r="A17" s="17" t="s">
        <v>96</v>
      </c>
      <c r="B17" s="17" t="n">
        <f aca="false">COUNTIF(Schedule!$E$2:$E$61,A17)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8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8" t="s">
        <v>601</v>
      </c>
    </row>
    <row r="2" customFormat="false" ht="15" hidden="false" customHeight="false" outlineLevel="0" collapsed="false">
      <c r="A2" s="21" t="s">
        <v>602</v>
      </c>
    </row>
    <row r="4" customFormat="false" ht="15" hidden="false" customHeight="false" outlineLevel="0" collapsed="false">
      <c r="A4" s="19" t="s">
        <v>603</v>
      </c>
      <c r="B4" s="19" t="s">
        <v>604</v>
      </c>
      <c r="C4" s="19" t="s">
        <v>605</v>
      </c>
    </row>
    <row r="5" customFormat="false" ht="33.75" hidden="false" customHeight="true" outlineLevel="0" collapsed="false">
      <c r="A5" s="20" t="s">
        <v>606</v>
      </c>
      <c r="B5" s="20" t="s">
        <v>607</v>
      </c>
      <c r="C5" s="20" t="s">
        <v>608</v>
      </c>
    </row>
    <row r="6" customFormat="false" ht="33.75" hidden="false" customHeight="true" outlineLevel="0" collapsed="false">
      <c r="A6" s="20" t="s">
        <v>609</v>
      </c>
      <c r="B6" s="20" t="s">
        <v>610</v>
      </c>
      <c r="C6" s="20" t="s">
        <v>611</v>
      </c>
    </row>
    <row r="7" customFormat="false" ht="33.75" hidden="false" customHeight="true" outlineLevel="0" collapsed="false">
      <c r="A7" s="20" t="s">
        <v>612</v>
      </c>
      <c r="B7" s="20" t="s">
        <v>613</v>
      </c>
      <c r="C7" s="20" t="s">
        <v>614</v>
      </c>
    </row>
    <row r="8" customFormat="false" ht="33.75" hidden="false" customHeight="true" outlineLevel="0" collapsed="false">
      <c r="A8" s="20" t="s">
        <v>615</v>
      </c>
      <c r="B8" s="20" t="s">
        <v>616</v>
      </c>
      <c r="C8" s="20" t="s">
        <v>617</v>
      </c>
    </row>
    <row r="9" customFormat="false" ht="33.75" hidden="false" customHeight="true" outlineLevel="0" collapsed="false">
      <c r="A9" s="20" t="s">
        <v>618</v>
      </c>
      <c r="B9" s="20" t="s">
        <v>619</v>
      </c>
      <c r="C9" s="20" t="s">
        <v>620</v>
      </c>
    </row>
    <row r="10" customFormat="false" ht="33.75" hidden="false" customHeight="true" outlineLevel="0" collapsed="false">
      <c r="A10" s="20" t="s">
        <v>621</v>
      </c>
      <c r="B10" s="20" t="s">
        <v>622</v>
      </c>
      <c r="C10" s="20" t="s">
        <v>623</v>
      </c>
    </row>
    <row r="11" customFormat="false" ht="33.75" hidden="false" customHeight="true" outlineLevel="0" collapsed="false">
      <c r="A11" s="20" t="s">
        <v>624</v>
      </c>
      <c r="B11" s="20" t="s">
        <v>625</v>
      </c>
      <c r="C11" s="20" t="s">
        <v>626</v>
      </c>
    </row>
    <row r="12" customFormat="false" ht="33.75" hidden="false" customHeight="true" outlineLevel="0" collapsed="false">
      <c r="A12" s="20" t="s">
        <v>627</v>
      </c>
      <c r="B12" s="20" t="s">
        <v>628</v>
      </c>
      <c r="C12" s="20" t="s">
        <v>629</v>
      </c>
    </row>
    <row r="13" customFormat="false" ht="33.75" hidden="false" customHeight="true" outlineLevel="0" collapsed="false">
      <c r="A13" s="20" t="s">
        <v>630</v>
      </c>
      <c r="B13" s="20" t="s">
        <v>631</v>
      </c>
      <c r="C13" s="20" t="s">
        <v>632</v>
      </c>
    </row>
    <row r="14" customFormat="false" ht="33.75" hidden="false" customHeight="true" outlineLevel="0" collapsed="false">
      <c r="A14" s="20" t="s">
        <v>633</v>
      </c>
      <c r="B14" s="20" t="s">
        <v>634</v>
      </c>
      <c r="C14" s="20" t="s">
        <v>635</v>
      </c>
    </row>
    <row r="15" customFormat="false" ht="33.75" hidden="false" customHeight="true" outlineLevel="0" collapsed="false">
      <c r="A15" s="20" t="s">
        <v>636</v>
      </c>
      <c r="B15" s="20" t="s">
        <v>637</v>
      </c>
      <c r="C15" s="20" t="s">
        <v>638</v>
      </c>
    </row>
    <row r="16" customFormat="false" ht="33.75" hidden="false" customHeight="true" outlineLevel="0" collapsed="false">
      <c r="A16" s="20" t="s">
        <v>639</v>
      </c>
      <c r="B16" s="20" t="s">
        <v>640</v>
      </c>
      <c r="C16" s="20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8" t="s">
        <v>642</v>
      </c>
    </row>
    <row r="3" customFormat="false" ht="42" hidden="false" customHeight="true" outlineLevel="0" collapsed="false">
      <c r="A3" s="22" t="s">
        <v>643</v>
      </c>
      <c r="B3" s="20" t="s">
        <v>644</v>
      </c>
    </row>
    <row r="4" customFormat="false" ht="42" hidden="false" customHeight="true" outlineLevel="0" collapsed="false">
      <c r="A4" s="22" t="s">
        <v>19</v>
      </c>
      <c r="B4" s="20" t="s">
        <v>645</v>
      </c>
    </row>
    <row r="5" customFormat="false" ht="42" hidden="false" customHeight="true" outlineLevel="0" collapsed="false">
      <c r="A5" s="22" t="s">
        <v>646</v>
      </c>
      <c r="B5" s="20" t="s">
        <v>647</v>
      </c>
    </row>
    <row r="6" customFormat="false" ht="42" hidden="false" customHeight="true" outlineLevel="0" collapsed="false">
      <c r="A6" s="22" t="s">
        <v>648</v>
      </c>
      <c r="B6" s="20" t="s">
        <v>649</v>
      </c>
    </row>
    <row r="7" customFormat="false" ht="42" hidden="false" customHeight="true" outlineLevel="0" collapsed="false">
      <c r="A7" s="22" t="s">
        <v>650</v>
      </c>
      <c r="B7" s="20" t="s">
        <v>651</v>
      </c>
    </row>
    <row r="8" customFormat="false" ht="42" hidden="false" customHeight="true" outlineLevel="0" collapsed="false">
      <c r="A8" s="22" t="s">
        <v>652</v>
      </c>
      <c r="B8" s="20" t="s">
        <v>653</v>
      </c>
    </row>
    <row r="9" customFormat="false" ht="42" hidden="false" customHeight="true" outlineLevel="0" collapsed="false">
      <c r="A9" s="22" t="s">
        <v>654</v>
      </c>
      <c r="B9" s="20" t="s">
        <v>655</v>
      </c>
    </row>
    <row r="10" customFormat="false" ht="42" hidden="false" customHeight="true" outlineLevel="0" collapsed="false">
      <c r="A10" s="22" t="s">
        <v>656</v>
      </c>
      <c r="B10" s="20" t="s">
        <v>657</v>
      </c>
    </row>
    <row r="11" customFormat="false" ht="42" hidden="false" customHeight="true" outlineLevel="0" collapsed="false">
      <c r="A11" s="22" t="s">
        <v>658</v>
      </c>
      <c r="B11" s="20" t="s">
        <v>659</v>
      </c>
    </row>
    <row r="12" customFormat="false" ht="42" hidden="false" customHeight="true" outlineLevel="0" collapsed="false">
      <c r="A12" s="22" t="s">
        <v>40</v>
      </c>
      <c r="B12" s="20" t="s">
        <v>660</v>
      </c>
    </row>
    <row r="13" customFormat="false" ht="42" hidden="false" customHeight="true" outlineLevel="0" collapsed="false">
      <c r="A13" s="22" t="s">
        <v>661</v>
      </c>
      <c r="B13" s="20" t="s">
        <v>662</v>
      </c>
    </row>
    <row r="14" customFormat="false" ht="42" hidden="false" customHeight="true" outlineLevel="0" collapsed="false">
      <c r="A14" s="22" t="s">
        <v>13</v>
      </c>
      <c r="B14" s="20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2026-08-24T07:57:12Z</dcterms:created>
  <dc:creator>openpyxl</dc:creator>
  <dc:description/>
  <dc:language>en-US</dc:language>
  <cp:lastModifiedBy/>
  <dcterms:modified xsi:type="dcterms:W3CDTF">2026-08-24T07:57:13Z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